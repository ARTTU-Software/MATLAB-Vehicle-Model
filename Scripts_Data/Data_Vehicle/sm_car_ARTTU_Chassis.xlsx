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i/Desktop/FSAE/Vehicle Model/Vehicle_Model/Scripts_Data/Data_Vehicle/"/>
    </mc:Choice>
  </mc:AlternateContent>
  <xr:revisionPtr revIDLastSave="0" documentId="13_ncr:1_{77795C3B-A319-DE47-9FA4-D1F9D0FCB09C}" xr6:coauthVersionLast="47" xr6:coauthVersionMax="47" xr10:uidLastSave="{00000000-0000-0000-0000-000000000000}"/>
  <bookViews>
    <workbookView xWindow="3920" yWindow="1880" windowWidth="34480" windowHeight="19400" activeTab="12" xr2:uid="{00000000-000D-0000-FFFF-FFFF00000000}"/>
  </bookViews>
  <sheets>
    <sheet name="Body" sheetId="1" r:id="rId1"/>
    <sheet name="SuspA1" sheetId="2" r:id="rId2"/>
    <sheet name="LinkageFront" sheetId="15" r:id="rId3"/>
    <sheet name="ARBFront" sheetId="3" r:id="rId4"/>
    <sheet name="Steer" sheetId="4" r:id="rId5"/>
    <sheet name="SuspA2" sheetId="5" r:id="rId6"/>
    <sheet name="LinkageRear" sheetId="16" r:id="rId7"/>
    <sheet name="ARBRear" sheetId="6" r:id="rId8"/>
    <sheet name="Aero" sheetId="7" r:id="rId9"/>
    <sheet name="Spring" sheetId="8" r:id="rId10"/>
    <sheet name="Damper" sheetId="9" r:id="rId11"/>
    <sheet name="Damping" sheetId="17" r:id="rId12"/>
    <sheet name="Tire" sheetId="14" r:id="rId13"/>
    <sheet name="HardpointsFr" sheetId="10" r:id="rId14"/>
    <sheet name="HardpointsRr" sheetId="1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14" i="4"/>
  <c r="C11" i="4"/>
  <c r="C8" i="6"/>
  <c r="C9" i="3"/>
  <c r="C5" i="4"/>
  <c r="C13" i="1"/>
  <c r="C12" i="1"/>
  <c r="C11" i="1"/>
  <c r="C7" i="6"/>
  <c r="C6" i="6"/>
  <c r="C5" i="6"/>
  <c r="C34" i="16"/>
  <c r="C33" i="16"/>
  <c r="C31" i="16"/>
  <c r="C30" i="16"/>
  <c r="C22" i="16"/>
  <c r="C21" i="16"/>
  <c r="C14" i="16"/>
  <c r="C13" i="16"/>
  <c r="C11" i="16"/>
  <c r="C10" i="16"/>
  <c r="C9" i="16"/>
  <c r="C25" i="16"/>
  <c r="C24" i="16"/>
  <c r="C7" i="16"/>
  <c r="C6" i="16"/>
  <c r="C5" i="16"/>
  <c r="C34" i="15" a="1"/>
  <c r="C34" i="15" s="1"/>
  <c r="C33" i="15" a="1"/>
  <c r="C33" i="15" s="1"/>
  <c r="C31" i="15" a="1"/>
  <c r="C31" i="15" s="1"/>
  <c r="C30" i="15" a="1"/>
  <c r="C30" i="15" s="1"/>
  <c r="C25" i="15" a="1"/>
  <c r="C25" i="15" s="1"/>
  <c r="C24" i="15" a="1"/>
  <c r="C24" i="15" s="1"/>
  <c r="C22" i="15" a="1"/>
  <c r="C22" i="15" s="1"/>
  <c r="C21" i="15" a="1"/>
  <c r="C21" i="15" s="1"/>
  <c r="C14" i="15" a="1"/>
  <c r="C14" i="15" s="1"/>
  <c r="C13" i="15" a="1"/>
  <c r="C13" i="15" s="1"/>
  <c r="C11" i="15" a="1"/>
  <c r="C11" i="15" s="1"/>
  <c r="C10" i="15" a="1"/>
  <c r="C10" i="15" s="1"/>
  <c r="C9" i="15" a="1"/>
  <c r="C9" i="15" s="1"/>
  <c r="C7" i="15" a="1"/>
  <c r="C7" i="15" s="1"/>
  <c r="C6" i="15" a="1"/>
  <c r="C6" i="15" s="1"/>
  <c r="C5" i="15"/>
  <c r="C7" i="3"/>
  <c r="C6" i="3"/>
  <c r="C8" i="3" a="1"/>
  <c r="C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<sst xmlns="http://schemas.openxmlformats.org/spreadsheetml/2006/main" count="555" uniqueCount="184">
  <si>
    <t>Category</t>
  </si>
  <si>
    <t>Value</t>
  </si>
  <si>
    <t>Unit</t>
  </si>
  <si>
    <t>Comment</t>
  </si>
  <si>
    <t>Type</t>
  </si>
  <si>
    <t>Body</t>
  </si>
  <si>
    <t>Instance</t>
  </si>
  <si>
    <t>FSAE_Achilles</t>
  </si>
  <si>
    <t>class</t>
  </si>
  <si>
    <t>Body_Axle2</t>
  </si>
  <si>
    <t>sAxle1</t>
  </si>
  <si>
    <t>[0 0 0]</t>
  </si>
  <si>
    <t>m</t>
  </si>
  <si>
    <t>X, Y, Z coordinates ( DO NOT CHANGE )</t>
  </si>
  <si>
    <t>sAxle2</t>
  </si>
  <si>
    <t>[-1,575 0 0]</t>
  </si>
  <si>
    <t xml:space="preserve">X, Y, Z coordinates </t>
  </si>
  <si>
    <t>sCG</t>
  </si>
  <si>
    <t>[-0,8232 0 0,3583]</t>
  </si>
  <si>
    <t>sPower</t>
  </si>
  <si>
    <t>[-1 0 0]</t>
  </si>
  <si>
    <t>model value only</t>
  </si>
  <si>
    <t>sHitchF</t>
  </si>
  <si>
    <t>[0.25 0 0.403]</t>
  </si>
  <si>
    <t>sHitchR</t>
  </si>
  <si>
    <t>[-1.75 0 0.403]</t>
  </si>
  <si>
    <t>Width</t>
  </si>
  <si>
    <t>taken as front + rear track / 2</t>
  </si>
  <si>
    <t>TrackFront</t>
  </si>
  <si>
    <t>TrackRear</t>
  </si>
  <si>
    <t>Kg</t>
  </si>
  <si>
    <t>Chassis + Bodywork + Electrical + Motors + Gearbox</t>
  </si>
  <si>
    <t>J</t>
  </si>
  <si>
    <t>[27 74 70]</t>
  </si>
  <si>
    <t>kg*m^2</t>
  </si>
  <si>
    <t>Moments of Inertia [Ixx Iyy Izz]</t>
  </si>
  <si>
    <t>Element</t>
  </si>
  <si>
    <t>Linkage</t>
  </si>
  <si>
    <t>LinkageFront</t>
  </si>
  <si>
    <t>SHEET</t>
  </si>
  <si>
    <t>AntiRollBar</t>
  </si>
  <si>
    <t>ARBFront</t>
  </si>
  <si>
    <t>Steer</t>
  </si>
  <si>
    <t>DoubleWishbonePushrod_FSAE_Achilles_f</t>
  </si>
  <si>
    <t>DoubleWishbone Pushrod</t>
  </si>
  <si>
    <t>LowerWishbone</t>
  </si>
  <si>
    <t>sInboardF</t>
  </si>
  <si>
    <t>Hardpoint X, Y, Z coordinates ( DO NOT CHANGE HERE )</t>
  </si>
  <si>
    <t>sInboardR</t>
  </si>
  <si>
    <t>sOutboard</t>
  </si>
  <si>
    <t>UpperWishbone</t>
  </si>
  <si>
    <t>Upright</t>
  </si>
  <si>
    <t>sWheelCentre</t>
  </si>
  <si>
    <t>aToe</t>
  </si>
  <si>
    <t>deg</t>
  </si>
  <si>
    <t>aCamber</t>
  </si>
  <si>
    <t>xAxle</t>
  </si>
  <si>
    <t>xWCtoBearing</t>
  </si>
  <si>
    <t>mAxle</t>
  </si>
  <si>
    <t>TrackRod</t>
  </si>
  <si>
    <t>sInboard</t>
  </si>
  <si>
    <t>Shock</t>
  </si>
  <si>
    <t>sTop</t>
  </si>
  <si>
    <t>sBottom</t>
  </si>
  <si>
    <t>mCylinder</t>
  </si>
  <si>
    <t>mPiston</t>
  </si>
  <si>
    <t>Endstop</t>
  </si>
  <si>
    <t>xMax</t>
  </si>
  <si>
    <t>xMin</t>
  </si>
  <si>
    <t>Pushrod</t>
  </si>
  <si>
    <t>Bellcrank</t>
  </si>
  <si>
    <t>sPivot</t>
  </si>
  <si>
    <t>sAntiRollBar</t>
  </si>
  <si>
    <t>Droplink_FSAE_Achilles_f</t>
  </si>
  <si>
    <t>DroplinkRod</t>
  </si>
  <si>
    <t>sSuspension</t>
  </si>
  <si>
    <t>k</t>
  </si>
  <si>
    <t>N*m/deg</t>
  </si>
  <si>
    <t>WheelDrivenRack1UJoint_Ch2_Achilles</t>
  </si>
  <si>
    <t>WheelDrivenRack1UJoint</t>
  </si>
  <si>
    <t>Rack</t>
  </si>
  <si>
    <t>sMount</t>
  </si>
  <si>
    <t>fActuatorCutoff</t>
  </si>
  <si>
    <t>Hz</t>
  </si>
  <si>
    <t>Wheel</t>
  </si>
  <si>
    <t>aAxis</t>
  </si>
  <si>
    <t>rad</t>
  </si>
  <si>
    <t>FSAE</t>
  </si>
  <si>
    <t>Pinion</t>
  </si>
  <si>
    <t>xRad</t>
  </si>
  <si>
    <t>Shaft_Upper</t>
  </si>
  <si>
    <t>xLength</t>
  </si>
  <si>
    <t>Shaft_Lower</t>
  </si>
  <si>
    <t>Ratio_Table</t>
  </si>
  <si>
    <t>aWheel</t>
  </si>
  <si>
    <t>[-3.1416 -2.8274 -2.5133 -2.1991 -1.8849 -1.5708 -1.2566 -0.94247 -0.62831 -0.31416 0 0.31416 0.62831 0.94247 1.2566 1.5708 1.8849 2.1991 2.5133 2.8274 3.1416]</t>
  </si>
  <si>
    <t>Wheel Angle - reference only</t>
  </si>
  <si>
    <t>xRack</t>
  </si>
  <si>
    <t>[-0.042894 -0.038604 -0.034315 -0.030026 -0.025736 -0.021447 -0.017157 -0.012868 -0.0085787 -0.0042894 0 0.0042894 0.0085787 0.012868 0.017157 0.021447 0.025736 0.030026 0.034315 0.038604 0.042894]</t>
  </si>
  <si>
    <t>Rack Displacement - reference only</t>
  </si>
  <si>
    <t>LinkageRear</t>
  </si>
  <si>
    <t>ARBRear</t>
  </si>
  <si>
    <t>type</t>
  </si>
  <si>
    <t>None</t>
  </si>
  <si>
    <t>DoubleWishbone Pushrod NoSteer</t>
  </si>
  <si>
    <t>DroplinkRod Rear</t>
  </si>
  <si>
    <t>Aero</t>
  </si>
  <si>
    <t>sedan</t>
  </si>
  <si>
    <t>CL</t>
  </si>
  <si>
    <t>CD</t>
  </si>
  <si>
    <t>rho_air</t>
  </si>
  <si>
    <t>Kg/m^3</t>
  </si>
  <si>
    <t>ARef</t>
  </si>
  <si>
    <t>m^2</t>
  </si>
  <si>
    <t>sPressureCentre</t>
  </si>
  <si>
    <t>[-0.707 0 0.628]</t>
  </si>
  <si>
    <t>Spring</t>
  </si>
  <si>
    <t>Independent</t>
  </si>
  <si>
    <t>Axle1</t>
  </si>
  <si>
    <t>Linear</t>
  </si>
  <si>
    <t>K</t>
  </si>
  <si>
    <t>N/m</t>
  </si>
  <si>
    <t>xPreload</t>
  </si>
  <si>
    <t>Axle2</t>
  </si>
  <si>
    <t>Damper</t>
  </si>
  <si>
    <t>Nonlinear</t>
  </si>
  <si>
    <t>Damping</t>
  </si>
  <si>
    <t>TABLE</t>
  </si>
  <si>
    <t>KxMax</t>
  </si>
  <si>
    <t>KxMin</t>
  </si>
  <si>
    <t>dxMin</t>
  </si>
  <si>
    <t>dxMax</t>
  </si>
  <si>
    <t>xTransition</t>
  </si>
  <si>
    <t>Tire</t>
  </si>
  <si>
    <t>MFEval_Hoosier</t>
  </si>
  <si>
    <t>MFEval</t>
  </si>
  <si>
    <t>tirFile</t>
  </si>
  <si>
    <t>fileName</t>
  </si>
  <si>
    <t>tir file name</t>
  </si>
  <si>
    <t>Mass</t>
  </si>
  <si>
    <t>Inertia</t>
  </si>
  <si>
    <t>[1 2]</t>
  </si>
  <si>
    <t>Kg*m^2</t>
  </si>
  <si>
    <t>roadFile</t>
  </si>
  <si>
    <t>which(''TNO_FlatRoad.rdf'')'</t>
  </si>
  <si>
    <t>CornerringStiffness</t>
  </si>
  <si>
    <t>fContactPoint</t>
  </si>
  <si>
    <t>sec</t>
  </si>
  <si>
    <t>Break algebraic loop between tire center position and contact point position and orientation</t>
  </si>
  <si>
    <t>TireBody</t>
  </si>
  <si>
    <t>Parameterized</t>
  </si>
  <si>
    <t>sOffset</t>
  </si>
  <si>
    <t>Dynamics</t>
  </si>
  <si>
    <t>1 steady state</t>
  </si>
  <si>
    <t>(1 steady state, 2 linear transients, 3 non-linear transients)</t>
  </si>
  <si>
    <t>Slip</t>
  </si>
  <si>
    <t xml:space="preserve"> </t>
  </si>
  <si>
    <t>Name</t>
  </si>
  <si>
    <t>X</t>
  </si>
  <si>
    <t>Y</t>
  </si>
  <si>
    <t>Z</t>
  </si>
  <si>
    <t>LowerWishbone  Front Pickup</t>
  </si>
  <si>
    <t>LowerWishbone Rear Pickup</t>
  </si>
  <si>
    <t>LowerWishbone Outboard</t>
  </si>
  <si>
    <t>UpperWishbone Front Pickup</t>
  </si>
  <si>
    <t>UpperWishbone Rear Pickup</t>
  </si>
  <si>
    <t>UpperWishbone Outboard</t>
  </si>
  <si>
    <t>Upright CoG</t>
  </si>
  <si>
    <t>Wheel Center</t>
  </si>
  <si>
    <t>trackrod Inboard</t>
  </si>
  <si>
    <t>trackrod Outboard</t>
  </si>
  <si>
    <t>Shock Chassis Mount</t>
  </si>
  <si>
    <t>Shock Bottom</t>
  </si>
  <si>
    <t>Pushrod Outboard</t>
  </si>
  <si>
    <t>Pushrod Inboard</t>
  </si>
  <si>
    <t>BC Pivot</t>
  </si>
  <si>
    <t>ARB Cantilever Start</t>
  </si>
  <si>
    <t>ARB Cantilever End</t>
  </si>
  <si>
    <t>ARB to Bellcrank</t>
  </si>
  <si>
    <t>Steer Rack</t>
  </si>
  <si>
    <t>Steer Wheel</t>
  </si>
  <si>
    <t>2 combined+turnslip</t>
  </si>
  <si>
    <t>1 combined</t>
  </si>
  <si>
    <t>which('Hoosier_R20B_20p5x7_R13_7in_v2.tir')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</si>
</sst>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0"/>
    <numFmt numFmtId="166" formatCode="0.0000"/>
  </numFmts>
  <fonts count="6" x14ac:knownFonts="1">
    <font>
      <sz val="11"/>
      <color indexed="8"/>
      <name val="Calibri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BDD6EE"/>
        <bgColor rgb="FF000000"/>
      </patternFill>
    </fill>
    <fill>
      <patternFill patternType="solid">
        <fgColor rgb="FF9DC2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0000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/>
      <top style="medium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8"/>
      </left>
      <right style="medium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8"/>
      </left>
      <right style="medium">
        <color rgb="FF000000"/>
      </right>
      <top/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/>
      <bottom style="medium">
        <color indexed="8"/>
      </bottom>
      <diagonal/>
    </border>
    <border>
      <left style="thin">
        <color indexed="8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rgb="FF000000"/>
      </right>
      <top style="medium">
        <color indexed="8"/>
      </top>
      <bottom/>
      <diagonal/>
    </border>
    <border>
      <left style="medium">
        <color indexed="8"/>
      </left>
      <right style="thin">
        <color rgb="FF000000"/>
      </right>
      <top/>
      <bottom/>
      <diagonal/>
    </border>
    <border>
      <left style="medium">
        <color indexed="8"/>
      </left>
      <right style="thin">
        <color rgb="FF000000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/>
      <diagonal/>
    </border>
  </borders>
  <cellStyleXfs count="1">
    <xf numFmtId="0" fontId="0" fillId="0" borderId="0" applyNumberFormat="0" applyFill="0" applyBorder="0" applyProtection="0"/>
  </cellStyleXfs>
  <cellXfs count="17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49" fontId="0" fillId="4" borderId="11" xfId="0" applyNumberFormat="1" applyFill="1" applyBorder="1" applyAlignment="1">
      <alignment horizontal="center" vertical="center"/>
    </xf>
    <xf numFmtId="0" fontId="0" fillId="5" borderId="11" xfId="0" applyNumberFormat="1" applyFill="1" applyBorder="1" applyAlignment="1">
      <alignment horizontal="center"/>
    </xf>
    <xf numFmtId="49" fontId="0" fillId="4" borderId="11" xfId="0" applyNumberFormat="1" applyFill="1" applyBorder="1" applyAlignment="1">
      <alignment horizontal="center"/>
    </xf>
    <xf numFmtId="49" fontId="0" fillId="4" borderId="12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49" fontId="2" fillId="8" borderId="16" xfId="0" applyNumberFormat="1" applyFont="1" applyFill="1" applyBorder="1" applyAlignment="1">
      <alignment horizontal="center" vertical="center"/>
    </xf>
    <xf numFmtId="49" fontId="2" fillId="9" borderId="17" xfId="0" applyNumberFormat="1" applyFon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49" fontId="2" fillId="9" borderId="20" xfId="0" applyNumberFormat="1" applyFont="1" applyFill="1" applyBorder="1" applyAlignment="1">
      <alignment horizontal="center" vertical="center"/>
    </xf>
    <xf numFmtId="164" fontId="0" fillId="6" borderId="21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49" fontId="0" fillId="4" borderId="26" xfId="0" applyNumberForma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49" fontId="0" fillId="4" borderId="25" xfId="0" applyNumberFormat="1" applyFill="1" applyBorder="1" applyAlignment="1">
      <alignment horizontal="center"/>
    </xf>
    <xf numFmtId="49" fontId="0" fillId="4" borderId="29" xfId="0" applyNumberFormat="1" applyFill="1" applyBorder="1" applyAlignment="1">
      <alignment horizontal="center"/>
    </xf>
    <xf numFmtId="49" fontId="0" fillId="4" borderId="30" xfId="0" applyNumberFormat="1" applyFill="1" applyBorder="1" applyAlignment="1">
      <alignment horizontal="center"/>
    </xf>
    <xf numFmtId="49" fontId="0" fillId="4" borderId="31" xfId="0" applyNumberFormat="1" applyFill="1" applyBorder="1" applyAlignment="1">
      <alignment horizontal="center"/>
    </xf>
    <xf numFmtId="49" fontId="0" fillId="4" borderId="32" xfId="0" applyNumberFormat="1" applyFill="1" applyBorder="1" applyAlignment="1">
      <alignment horizontal="center"/>
    </xf>
    <xf numFmtId="49" fontId="0" fillId="4" borderId="33" xfId="0" applyNumberFormat="1" applyFill="1" applyBorder="1" applyAlignment="1">
      <alignment horizontal="center"/>
    </xf>
    <xf numFmtId="0" fontId="0" fillId="5" borderId="30" xfId="0" applyNumberFormat="1" applyFill="1" applyBorder="1" applyAlignment="1">
      <alignment horizontal="center"/>
    </xf>
    <xf numFmtId="49" fontId="0" fillId="4" borderId="34" xfId="0" applyNumberFormat="1" applyFill="1" applyBorder="1" applyAlignment="1">
      <alignment horizontal="center"/>
    </xf>
    <xf numFmtId="49" fontId="0" fillId="4" borderId="35" xfId="0" applyNumberFormat="1" applyFill="1" applyBorder="1" applyAlignment="1">
      <alignment horizontal="center"/>
    </xf>
    <xf numFmtId="49" fontId="0" fillId="4" borderId="36" xfId="0" applyNumberFormat="1" applyFill="1" applyBorder="1" applyAlignment="1">
      <alignment horizontal="center"/>
    </xf>
    <xf numFmtId="49" fontId="0" fillId="4" borderId="37" xfId="0" applyNumberForma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49" fontId="0" fillId="4" borderId="39" xfId="0" applyNumberFormat="1" applyFill="1" applyBorder="1" applyAlignment="1">
      <alignment horizontal="center"/>
    </xf>
    <xf numFmtId="49" fontId="0" fillId="4" borderId="40" xfId="0" applyNumberFormat="1" applyFill="1" applyBorder="1" applyAlignment="1">
      <alignment horizontal="center"/>
    </xf>
    <xf numFmtId="49" fontId="0" fillId="4" borderId="41" xfId="0" applyNumberFormat="1" applyFill="1" applyBorder="1" applyAlignment="1">
      <alignment horizontal="center"/>
    </xf>
    <xf numFmtId="49" fontId="0" fillId="4" borderId="42" xfId="0" applyNumberFormat="1" applyFill="1" applyBorder="1" applyAlignment="1">
      <alignment horizontal="center"/>
    </xf>
    <xf numFmtId="49" fontId="0" fillId="4" borderId="43" xfId="0" applyNumberFormat="1" applyFill="1" applyBorder="1" applyAlignment="1">
      <alignment horizontal="center"/>
    </xf>
    <xf numFmtId="49" fontId="0" fillId="4" borderId="44" xfId="0" applyNumberFormat="1" applyFill="1" applyBorder="1" applyAlignment="1">
      <alignment horizontal="center"/>
    </xf>
    <xf numFmtId="49" fontId="0" fillId="4" borderId="45" xfId="0" applyNumberFormat="1" applyFill="1" applyBorder="1" applyAlignment="1">
      <alignment horizontal="center"/>
    </xf>
    <xf numFmtId="49" fontId="0" fillId="4" borderId="46" xfId="0" applyNumberFormat="1" applyFill="1" applyBorder="1" applyAlignment="1">
      <alignment horizontal="center"/>
    </xf>
    <xf numFmtId="49" fontId="0" fillId="4" borderId="47" xfId="0" applyNumberFormat="1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49" fontId="0" fillId="4" borderId="49" xfId="0" applyNumberFormat="1" applyFill="1" applyBorder="1" applyAlignment="1">
      <alignment horizontal="center"/>
    </xf>
    <xf numFmtId="49" fontId="0" fillId="4" borderId="50" xfId="0" applyNumberFormat="1" applyFill="1" applyBorder="1" applyAlignment="1">
      <alignment horizontal="center"/>
    </xf>
    <xf numFmtId="49" fontId="0" fillId="4" borderId="51" xfId="0" applyNumberFormat="1" applyFill="1" applyBorder="1" applyAlignment="1">
      <alignment horizontal="center"/>
    </xf>
    <xf numFmtId="49" fontId="0" fillId="4" borderId="52" xfId="0" applyNumberFormat="1" applyFill="1" applyBorder="1" applyAlignment="1">
      <alignment horizontal="center"/>
    </xf>
    <xf numFmtId="49" fontId="0" fillId="4" borderId="53" xfId="0" applyNumberFormat="1" applyFill="1" applyBorder="1" applyAlignment="1">
      <alignment horizontal="center"/>
    </xf>
    <xf numFmtId="49" fontId="0" fillId="4" borderId="54" xfId="0" applyNumberFormat="1" applyFill="1" applyBorder="1" applyAlignment="1">
      <alignment horizontal="center"/>
    </xf>
    <xf numFmtId="49" fontId="0" fillId="4" borderId="55" xfId="0" applyNumberForma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49" fontId="0" fillId="4" borderId="56" xfId="0" applyNumberFormat="1" applyFill="1" applyBorder="1" applyAlignment="1">
      <alignment horizontal="center"/>
    </xf>
    <xf numFmtId="49" fontId="0" fillId="4" borderId="57" xfId="0" applyNumberForma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 vertical="center"/>
    </xf>
    <xf numFmtId="49" fontId="3" fillId="4" borderId="59" xfId="0" applyNumberFormat="1" applyFont="1" applyFill="1" applyBorder="1" applyAlignment="1">
      <alignment horizontal="center" vertical="center"/>
    </xf>
    <xf numFmtId="49" fontId="0" fillId="4" borderId="59" xfId="0" applyNumberFormat="1" applyFill="1" applyBorder="1" applyAlignment="1">
      <alignment horizontal="center"/>
    </xf>
    <xf numFmtId="0" fontId="0" fillId="5" borderId="59" xfId="0" applyNumberFormat="1" applyFill="1" applyBorder="1" applyAlignment="1">
      <alignment horizontal="center"/>
    </xf>
    <xf numFmtId="49" fontId="0" fillId="4" borderId="60" xfId="0" applyNumberForma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1" xfId="0" applyNumberFormat="1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/>
    </xf>
    <xf numFmtId="49" fontId="4" fillId="10" borderId="24" xfId="0" applyNumberFormat="1" applyFont="1" applyFill="1" applyBorder="1" applyAlignment="1">
      <alignment horizontal="center" vertical="center"/>
    </xf>
    <xf numFmtId="49" fontId="4" fillId="10" borderId="61" xfId="0" applyNumberFormat="1" applyFont="1" applyFill="1" applyBorder="1" applyAlignment="1">
      <alignment horizontal="center" vertical="center"/>
    </xf>
    <xf numFmtId="49" fontId="4" fillId="10" borderId="62" xfId="0" applyNumberFormat="1" applyFont="1" applyFill="1" applyBorder="1" applyAlignment="1">
      <alignment horizontal="center" vertical="center"/>
    </xf>
    <xf numFmtId="49" fontId="3" fillId="4" borderId="27" xfId="0" applyNumberFormat="1" applyFont="1" applyFill="1" applyBorder="1" applyAlignment="1">
      <alignment horizontal="center"/>
    </xf>
    <xf numFmtId="49" fontId="2" fillId="7" borderId="13" xfId="0" applyNumberFormat="1" applyFont="1" applyFill="1" applyBorder="1" applyAlignment="1">
      <alignment horizontal="center" vertical="center" wrapText="1"/>
    </xf>
    <xf numFmtId="49" fontId="3" fillId="4" borderId="25" xfId="0" applyNumberFormat="1" applyFont="1" applyFill="1" applyBorder="1" applyAlignment="1">
      <alignment horizontal="center" vertical="center"/>
    </xf>
    <xf numFmtId="49" fontId="0" fillId="4" borderId="23" xfId="0" applyNumberFormat="1" applyFill="1" applyBorder="1" applyAlignment="1">
      <alignment horizontal="center" vertical="center"/>
    </xf>
    <xf numFmtId="0" fontId="0" fillId="5" borderId="23" xfId="0" applyNumberFormat="1" applyFill="1" applyBorder="1" applyAlignment="1">
      <alignment horizontal="center"/>
    </xf>
    <xf numFmtId="49" fontId="0" fillId="4" borderId="23" xfId="0" applyNumberFormat="1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2" fontId="0" fillId="5" borderId="23" xfId="0" applyNumberFormat="1" applyFill="1" applyBorder="1" applyAlignment="1">
      <alignment horizontal="center"/>
    </xf>
    <xf numFmtId="0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49" fontId="4" fillId="10" borderId="24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5" xfId="0" quotePrefix="1" applyFont="1" applyFill="1" applyBorder="1" applyAlignment="1">
      <alignment horizontal="center"/>
    </xf>
    <xf numFmtId="49" fontId="3" fillId="4" borderId="27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/>
    </xf>
    <xf numFmtId="49" fontId="3" fillId="4" borderId="69" xfId="0" applyNumberFormat="1" applyFont="1" applyFill="1" applyBorder="1" applyAlignment="1">
      <alignment horizontal="center" vertical="center"/>
    </xf>
    <xf numFmtId="0" fontId="3" fillId="5" borderId="69" xfId="0" applyFont="1" applyFill="1" applyBorder="1" applyAlignment="1">
      <alignment horizontal="center"/>
    </xf>
    <xf numFmtId="49" fontId="3" fillId="4" borderId="69" xfId="0" applyNumberFormat="1" applyFont="1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49" fontId="0" fillId="4" borderId="36" xfId="0" applyNumberFormat="1" applyFill="1" applyBorder="1" applyAlignment="1">
      <alignment horizontal="center" vertical="center"/>
    </xf>
    <xf numFmtId="0" fontId="0" fillId="4" borderId="70" xfId="0" applyFill="1" applyBorder="1" applyAlignment="1">
      <alignment horizontal="center"/>
    </xf>
    <xf numFmtId="49" fontId="3" fillId="5" borderId="36" xfId="0" applyNumberFormat="1" applyFont="1" applyFill="1" applyBorder="1" applyAlignment="1">
      <alignment horizontal="center"/>
    </xf>
    <xf numFmtId="49" fontId="3" fillId="4" borderId="36" xfId="0" applyNumberFormat="1" applyFont="1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 wrapText="1"/>
    </xf>
    <xf numFmtId="49" fontId="3" fillId="5" borderId="5" xfId="0" quotePrefix="1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0" fontId="0" fillId="5" borderId="59" xfId="0" applyFill="1" applyBorder="1" applyAlignment="1">
      <alignment horizontal="center"/>
    </xf>
    <xf numFmtId="49" fontId="3" fillId="4" borderId="59" xfId="0" applyNumberFormat="1" applyFont="1" applyFill="1" applyBorder="1" applyAlignment="1">
      <alignment horizontal="center"/>
    </xf>
    <xf numFmtId="49" fontId="3" fillId="4" borderId="36" xfId="0" applyNumberFormat="1" applyFont="1" applyFill="1" applyBorder="1" applyAlignment="1">
      <alignment horizontal="center" vertical="center"/>
    </xf>
    <xf numFmtId="0" fontId="3" fillId="5" borderId="36" xfId="0" applyNumberFormat="1" applyFont="1" applyFill="1" applyBorder="1" applyAlignment="1">
      <alignment horizontal="center"/>
    </xf>
    <xf numFmtId="49" fontId="0" fillId="4" borderId="71" xfId="0" applyNumberFormat="1" applyFill="1" applyBorder="1" applyAlignment="1">
      <alignment horizontal="center"/>
    </xf>
    <xf numFmtId="49" fontId="3" fillId="4" borderId="29" xfId="0" applyNumberFormat="1" applyFont="1" applyFill="1" applyBorder="1" applyAlignment="1">
      <alignment horizontal="center"/>
    </xf>
    <xf numFmtId="0" fontId="3" fillId="5" borderId="23" xfId="0" applyNumberFormat="1" applyFont="1" applyFill="1" applyBorder="1" applyAlignment="1">
      <alignment horizontal="center"/>
    </xf>
    <xf numFmtId="0" fontId="3" fillId="4" borderId="67" xfId="0" applyFont="1" applyFill="1" applyBorder="1" applyAlignment="1">
      <alignment horizontal="center"/>
    </xf>
    <xf numFmtId="0" fontId="5" fillId="0" borderId="0" xfId="0" applyFont="1"/>
    <xf numFmtId="166" fontId="3" fillId="5" borderId="8" xfId="0" applyNumberFormat="1" applyFon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0" fontId="3" fillId="0" borderId="0" xfId="0" applyFont="1"/>
    <xf numFmtId="165" fontId="3" fillId="5" borderId="8" xfId="0" applyNumberFormat="1" applyFont="1" applyFill="1" applyBorder="1" applyAlignment="1">
      <alignment horizontal="center"/>
    </xf>
    <xf numFmtId="49" fontId="3" fillId="5" borderId="11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 vertical="center" wrapText="1"/>
    </xf>
    <xf numFmtId="164" fontId="0" fillId="13" borderId="21" xfId="0" applyNumberFormat="1" applyFill="1" applyBorder="1" applyAlignment="1">
      <alignment horizontal="center" vertical="center"/>
    </xf>
    <xf numFmtId="164" fontId="0" fillId="13" borderId="22" xfId="0" applyNumberFormat="1" applyFill="1" applyBorder="1" applyAlignment="1">
      <alignment horizontal="center" vertical="center"/>
    </xf>
    <xf numFmtId="0" fontId="0" fillId="13" borderId="0" xfId="0" applyNumberFormat="1" applyFill="1"/>
    <xf numFmtId="49" fontId="2" fillId="7" borderId="13" xfId="0" applyNumberFormat="1" applyFont="1" applyFill="1" applyBorder="1" applyAlignment="1">
      <alignment horizontal="center" vertical="center" wrapText="1"/>
    </xf>
    <xf numFmtId="49" fontId="2" fillId="7" borderId="15" xfId="0" applyNumberFormat="1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0" fontId="0" fillId="6" borderId="7" xfId="0" applyFill="1" applyBorder="1"/>
    <xf numFmtId="0" fontId="0" fillId="6" borderId="10" xfId="0" applyFill="1" applyBorder="1"/>
    <xf numFmtId="49" fontId="2" fillId="3" borderId="4" xfId="0" applyNumberFormat="1" applyFont="1" applyFill="1" applyBorder="1" applyAlignment="1">
      <alignment horizontal="center" vertical="center"/>
    </xf>
    <xf numFmtId="0" fontId="0" fillId="6" borderId="1" xfId="0" applyFill="1" applyBorder="1"/>
    <xf numFmtId="49" fontId="2" fillId="7" borderId="4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0" fillId="6" borderId="4" xfId="0" applyFill="1" applyBorder="1"/>
    <xf numFmtId="0" fontId="0" fillId="6" borderId="58" xfId="0" applyFill="1" applyBorder="1"/>
    <xf numFmtId="0" fontId="2" fillId="11" borderId="13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 wrapText="1"/>
    </xf>
    <xf numFmtId="49" fontId="2" fillId="7" borderId="63" xfId="0" applyNumberFormat="1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72" xfId="0" applyFont="1" applyFill="1" applyBorder="1" applyAlignment="1">
      <alignment horizontal="center" vertical="center"/>
    </xf>
    <xf numFmtId="0" fontId="2" fillId="11" borderId="73" xfId="0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7" borderId="64" xfId="0" applyNumberFormat="1" applyFont="1" applyFill="1" applyBorder="1" applyAlignment="1">
      <alignment horizontal="center" vertical="center" wrapText="1"/>
    </xf>
    <xf numFmtId="49" fontId="2" fillId="7" borderId="65" xfId="0" applyNumberFormat="1" applyFont="1" applyFill="1" applyBorder="1" applyAlignment="1">
      <alignment horizontal="center" vertical="center" wrapText="1"/>
    </xf>
    <xf numFmtId="49" fontId="2" fillId="7" borderId="66" xfId="0" applyNumberFormat="1" applyFont="1" applyFill="1" applyBorder="1" applyAlignment="1">
      <alignment horizontal="center" vertical="center" wrapText="1"/>
    </xf>
    <xf numFmtId="49" fontId="2" fillId="3" borderId="14" xfId="0" applyNumberFormat="1" applyFont="1" applyFill="1" applyBorder="1" applyAlignment="1">
      <alignment horizontal="center" vertical="center"/>
    </xf>
    <xf numFmtId="49" fontId="2" fillId="7" borderId="13" xfId="0" applyNumberFormat="1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/>
    </xf>
    <xf numFmtId="49" fontId="2" fillId="7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FFBDC0BF"/>
      <rgbColor rgb="FFA5A5A5"/>
      <rgbColor rgb="FF3F3F3F"/>
      <rgbColor rgb="FFDBDBD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D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zoomScale="125" workbookViewId="0">
      <selection activeCell="C14" sqref="C14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5" style="1" bestFit="1" customWidth="1"/>
    <col min="4" max="4" width="9.5" style="1" customWidth="1"/>
    <col min="5" max="5" width="47.332031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5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</v>
      </c>
      <c r="D4" s="9"/>
      <c r="E4" s="10"/>
    </row>
    <row r="5" spans="1:5" ht="14" customHeight="1" thickBot="1" x14ac:dyDescent="0.25">
      <c r="A5" s="118" t="s">
        <v>10</v>
      </c>
      <c r="B5" s="73"/>
      <c r="C5" s="76" t="s">
        <v>11</v>
      </c>
      <c r="D5" s="12" t="s">
        <v>12</v>
      </c>
      <c r="E5" s="13" t="s">
        <v>13</v>
      </c>
    </row>
    <row r="6" spans="1:5" ht="15" customHeight="1" thickBot="1" x14ac:dyDescent="0.25">
      <c r="A6" s="118" t="s">
        <v>14</v>
      </c>
      <c r="B6" s="74"/>
      <c r="C6" s="75" t="s">
        <v>15</v>
      </c>
      <c r="D6" s="15" t="s">
        <v>12</v>
      </c>
      <c r="E6" s="16" t="s">
        <v>16</v>
      </c>
    </row>
    <row r="7" spans="1:5" ht="15" customHeight="1" thickBot="1" x14ac:dyDescent="0.25">
      <c r="A7" s="118" t="s">
        <v>17</v>
      </c>
      <c r="B7" s="74"/>
      <c r="C7" s="75" t="s">
        <v>18</v>
      </c>
      <c r="D7" s="15" t="s">
        <v>12</v>
      </c>
      <c r="E7" s="16"/>
    </row>
    <row r="8" spans="1:5" ht="15" customHeight="1" thickBot="1" x14ac:dyDescent="0.25">
      <c r="A8" s="118" t="s">
        <v>19</v>
      </c>
      <c r="B8" s="74"/>
      <c r="C8" s="75" t="s">
        <v>20</v>
      </c>
      <c r="D8" s="15" t="s">
        <v>12</v>
      </c>
      <c r="E8" s="16" t="s">
        <v>21</v>
      </c>
    </row>
    <row r="9" spans="1:5" ht="15" customHeight="1" thickBot="1" x14ac:dyDescent="0.25">
      <c r="A9" s="118" t="s">
        <v>22</v>
      </c>
      <c r="B9" s="74"/>
      <c r="C9" s="75" t="s">
        <v>23</v>
      </c>
      <c r="D9" s="15" t="s">
        <v>12</v>
      </c>
      <c r="E9" s="16" t="s">
        <v>21</v>
      </c>
    </row>
    <row r="10" spans="1:5" ht="15" customHeight="1" thickBot="1" x14ac:dyDescent="0.25">
      <c r="A10" s="118" t="s">
        <v>24</v>
      </c>
      <c r="B10" s="74"/>
      <c r="C10" s="75" t="s">
        <v>25</v>
      </c>
      <c r="D10" s="15" t="s">
        <v>12</v>
      </c>
      <c r="E10" s="16" t="s">
        <v>21</v>
      </c>
    </row>
    <row r="11" spans="1:5" ht="16" thickBot="1" x14ac:dyDescent="0.25">
      <c r="A11" s="118" t="s">
        <v>26</v>
      </c>
      <c r="B11" s="14"/>
      <c r="C11" s="17">
        <f>(HardpointsRr!C9*2+HardpointsFr!C9*2)/2/1000</f>
        <v>1.2649999999999999</v>
      </c>
      <c r="D11" s="15" t="s">
        <v>12</v>
      </c>
      <c r="E11" s="16" t="s">
        <v>27</v>
      </c>
    </row>
    <row r="12" spans="1:5" ht="13.5" customHeight="1" thickBot="1" x14ac:dyDescent="0.25">
      <c r="A12" s="118" t="s">
        <v>28</v>
      </c>
      <c r="B12" s="74"/>
      <c r="C12" s="17">
        <f>HardpointsFr!C9*2/1000</f>
        <v>1.28</v>
      </c>
      <c r="D12" s="15" t="s">
        <v>12</v>
      </c>
      <c r="E12" s="16"/>
    </row>
    <row r="13" spans="1:5" ht="13.5" customHeight="1" thickBot="1" x14ac:dyDescent="0.25">
      <c r="A13" s="118" t="s">
        <v>29</v>
      </c>
      <c r="B13" s="74"/>
      <c r="C13" s="17">
        <f>HardpointsRr!C9*2/1000</f>
        <v>1.25</v>
      </c>
      <c r="D13" s="15" t="s">
        <v>12</v>
      </c>
      <c r="E13" s="18"/>
    </row>
    <row r="14" spans="1:5" ht="13.5" customHeight="1" thickBot="1" x14ac:dyDescent="0.25">
      <c r="A14" s="118" t="s">
        <v>12</v>
      </c>
      <c r="B14" s="78"/>
      <c r="C14" s="80">
        <v>255.07</v>
      </c>
      <c r="D14" s="79" t="s">
        <v>30</v>
      </c>
      <c r="E14" s="81" t="s">
        <v>31</v>
      </c>
    </row>
    <row r="15" spans="1:5" ht="13.5" customHeight="1" x14ac:dyDescent="0.2">
      <c r="A15" s="118" t="s">
        <v>32</v>
      </c>
      <c r="B15" s="74"/>
      <c r="C15" s="83" t="s">
        <v>33</v>
      </c>
      <c r="D15" s="85" t="s">
        <v>34</v>
      </c>
      <c r="E15" s="82" t="s">
        <v>35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zoomScale="125" workbookViewId="0">
      <selection activeCell="E5" sqref="E5"/>
    </sheetView>
  </sheetViews>
  <sheetFormatPr baseColWidth="10" defaultColWidth="8.83203125" defaultRowHeight="14.5" customHeight="1" x14ac:dyDescent="0.2"/>
  <cols>
    <col min="1" max="1" width="24.5" style="1" bestFit="1" customWidth="1"/>
    <col min="2" max="2" width="22.5" style="1" customWidth="1"/>
    <col min="3" max="3" width="37.5" style="1" customWidth="1"/>
    <col min="4" max="4" width="6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/>
      <c r="D2" s="9"/>
      <c r="E2" s="10"/>
    </row>
    <row r="3" spans="1:5" ht="14" customHeight="1" x14ac:dyDescent="0.2">
      <c r="A3" s="6" t="s">
        <v>6</v>
      </c>
      <c r="B3" s="7"/>
      <c r="C3" s="8"/>
      <c r="D3" s="9"/>
      <c r="E3" s="10"/>
    </row>
    <row r="4" spans="1:5" ht="14" customHeight="1" thickBot="1" x14ac:dyDescent="0.25">
      <c r="A4" s="6" t="s">
        <v>8</v>
      </c>
      <c r="B4" s="7"/>
      <c r="C4" s="8" t="s">
        <v>37</v>
      </c>
      <c r="D4" s="9"/>
      <c r="E4" s="10"/>
    </row>
    <row r="5" spans="1:5" ht="14" customHeight="1" thickBot="1" x14ac:dyDescent="0.25">
      <c r="A5" s="6" t="s">
        <v>37</v>
      </c>
      <c r="B5" s="113"/>
      <c r="C5" s="115" t="s">
        <v>38</v>
      </c>
      <c r="D5" s="116" t="s">
        <v>39</v>
      </c>
      <c r="E5" s="114"/>
    </row>
    <row r="6" spans="1:5" ht="14.5" customHeight="1" thickBot="1" x14ac:dyDescent="0.25">
      <c r="A6" s="6" t="s">
        <v>40</v>
      </c>
      <c r="B6" s="77"/>
      <c r="C6" s="84" t="s">
        <v>41</v>
      </c>
      <c r="D6" s="86" t="s">
        <v>39</v>
      </c>
      <c r="E6" s="22"/>
    </row>
    <row r="7" spans="1:5" ht="14.5" customHeight="1" thickBot="1" x14ac:dyDescent="0.25">
      <c r="A7" s="6" t="s">
        <v>42</v>
      </c>
      <c r="B7" s="77"/>
      <c r="C7" s="84" t="s">
        <v>42</v>
      </c>
      <c r="D7" s="86" t="s">
        <v>39</v>
      </c>
      <c r="E7" s="2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B35C-CB70-D641-97B1-CD6FD7CCE140}">
  <dimension ref="A1:E35"/>
  <sheetViews>
    <sheetView topLeftCell="A6" zoomScale="220" workbookViewId="0">
      <selection activeCell="C18" sqref="C18"/>
    </sheetView>
  </sheetViews>
  <sheetFormatPr baseColWidth="10" defaultColWidth="11.5" defaultRowHeight="15" x14ac:dyDescent="0.2"/>
  <cols>
    <col min="2" max="2" width="12" bestFit="1" customWidth="1"/>
    <col min="3" max="3" width="33.6640625" bestFit="1" customWidth="1"/>
    <col min="4" max="4" width="10.33203125" customWidth="1"/>
    <col min="5" max="5" width="50.33203125" customWidth="1"/>
  </cols>
  <sheetData>
    <row r="1" spans="1:5" s="1" customFormat="1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s="1" customFormat="1" ht="14" customHeight="1" thickBot="1" x14ac:dyDescent="0.25">
      <c r="A2" s="6" t="s">
        <v>4</v>
      </c>
      <c r="B2" s="7"/>
      <c r="C2" s="101" t="s">
        <v>37</v>
      </c>
      <c r="D2" s="9"/>
      <c r="E2" s="10"/>
    </row>
    <row r="3" spans="1:5" s="1" customFormat="1" ht="14" customHeight="1" thickBot="1" x14ac:dyDescent="0.25">
      <c r="A3" s="6" t="s">
        <v>6</v>
      </c>
      <c r="B3" s="7"/>
      <c r="C3" s="101" t="s">
        <v>43</v>
      </c>
      <c r="D3" s="9"/>
      <c r="E3" s="10"/>
    </row>
    <row r="4" spans="1:5" s="1" customFormat="1" ht="14" customHeight="1" thickBot="1" x14ac:dyDescent="0.25">
      <c r="A4" s="6" t="s">
        <v>8</v>
      </c>
      <c r="B4" s="7"/>
      <c r="C4" s="101" t="s">
        <v>44</v>
      </c>
      <c r="D4" s="9"/>
      <c r="E4" s="10"/>
    </row>
    <row r="5" spans="1:5" s="1" customFormat="1" ht="14" customHeight="1" x14ac:dyDescent="0.2">
      <c r="A5" s="149" t="s">
        <v>45</v>
      </c>
      <c r="B5" s="73" t="s">
        <v>46</v>
      </c>
      <c r="C5" s="23" t="str">
        <f>"[" &amp; _xlfn.TEXTJOIN(" ", TRUE, HardpointsFr!B2 / 1000, HardpointsFr!C2 / 1000, HardpointsFr!D2 / 1000) &amp; "]"</f>
        <v>[0.2 0.203347 0.07635]</v>
      </c>
      <c r="D5" s="12" t="s">
        <v>12</v>
      </c>
      <c r="E5" s="13" t="s">
        <v>47</v>
      </c>
    </row>
    <row r="6" spans="1:5" s="1" customFormat="1" ht="15" customHeight="1" thickBot="1" x14ac:dyDescent="0.25">
      <c r="A6" s="147"/>
      <c r="B6" s="74" t="s">
        <v>48</v>
      </c>
      <c r="C6" s="24" t="str" cm="1">
        <f t="array" ref="C6">"["&amp;_xlfn.TEXTJOIN(" ",TRUE,HardpointsFr!B3/1000,HardpointsFr!C3/1000,HardpointsFr!D3/1000)&amp;"]"</f>
        <v>[-0.196 0.225 0.07635]</v>
      </c>
      <c r="D6" s="15" t="s">
        <v>12</v>
      </c>
      <c r="E6" s="15" t="s">
        <v>47</v>
      </c>
    </row>
    <row r="7" spans="1:5" s="1" customFormat="1" ht="15" customHeight="1" thickBot="1" x14ac:dyDescent="0.25">
      <c r="A7" s="150"/>
      <c r="B7" s="74" t="s">
        <v>49</v>
      </c>
      <c r="C7" s="24" t="str" cm="1">
        <f t="array" ref="C7">"["&amp;_xlfn.TEXTJOIN(" ",TRUE,HardpointsFr!B4/1000,HardpointsFr!C4/1000,HardpointsFr!D4/1000)&amp;"]"</f>
        <v>[0.011982 0.588501 0.1525]</v>
      </c>
      <c r="D7" s="15" t="s">
        <v>12</v>
      </c>
      <c r="E7" s="16" t="s">
        <v>47</v>
      </c>
    </row>
    <row r="8" spans="1:5" s="1" customFormat="1" ht="14" customHeight="1" thickBot="1" x14ac:dyDescent="0.25">
      <c r="A8" s="150"/>
      <c r="B8" s="77" t="s">
        <v>12</v>
      </c>
      <c r="C8" s="20">
        <v>0.16500000000000001</v>
      </c>
      <c r="D8" s="21" t="s">
        <v>12</v>
      </c>
      <c r="E8" s="22"/>
    </row>
    <row r="9" spans="1:5" s="1" customFormat="1" ht="13.5" customHeight="1" x14ac:dyDescent="0.2">
      <c r="A9" s="151" t="s">
        <v>50</v>
      </c>
      <c r="B9" s="73" t="s">
        <v>46</v>
      </c>
      <c r="C9" s="23" t="str" cm="1">
        <f t="array" ref="C9">"["&amp;_xlfn.TEXTJOIN(" ",TRUE,HardpointsFr!B5/1000,HardpointsFr!C5/1000,HardpointsFr!D5/1000)&amp;"]"</f>
        <v>[0.152882 0.207316 0.271782]</v>
      </c>
      <c r="D9" s="12" t="s">
        <v>12</v>
      </c>
      <c r="E9" s="13" t="s">
        <v>47</v>
      </c>
    </row>
    <row r="10" spans="1:5" s="1" customFormat="1" ht="13.5" customHeight="1" x14ac:dyDescent="0.2">
      <c r="A10" s="148"/>
      <c r="B10" s="74" t="s">
        <v>48</v>
      </c>
      <c r="C10" s="24" t="str" cm="1">
        <f t="array" ref="C10">"["&amp;_xlfn.TEXTJOIN(" ",TRUE,HardpointsFr!B6/1000,HardpointsFr!C6/1000,HardpointsFr!D6/1000)&amp;"]"</f>
        <v>[-0.180729 0.225 0.250894]</v>
      </c>
      <c r="D10" s="15" t="s">
        <v>12</v>
      </c>
      <c r="E10" s="15" t="s">
        <v>47</v>
      </c>
    </row>
    <row r="11" spans="1:5" s="1" customFormat="1" ht="13.5" customHeight="1" x14ac:dyDescent="0.2">
      <c r="A11" s="148"/>
      <c r="B11" s="74" t="s">
        <v>49</v>
      </c>
      <c r="C11" s="24" t="str" cm="1">
        <f t="array" ref="C11">"["&amp;_xlfn.TEXTJOIN(" ",TRUE,HardpointsFr!B7/1000,HardpointsFr!C7/1000,HardpointsFr!D7/1000)&amp;"]"</f>
        <v>[-0.012087 0.521103 0.3815]</v>
      </c>
      <c r="D11" s="15" t="s">
        <v>12</v>
      </c>
      <c r="E11" s="16" t="s">
        <v>47</v>
      </c>
    </row>
    <row r="12" spans="1:5" s="1" customFormat="1" ht="13.5" customHeight="1" thickBot="1" x14ac:dyDescent="0.25">
      <c r="A12" s="147"/>
      <c r="B12" s="77" t="s">
        <v>12</v>
      </c>
      <c r="C12" s="20">
        <v>0.12</v>
      </c>
      <c r="D12" s="21" t="s">
        <v>30</v>
      </c>
      <c r="E12" s="22" t="s">
        <v>31</v>
      </c>
    </row>
    <row r="13" spans="1:5" s="1" customFormat="1" ht="13.5" customHeight="1" thickBot="1" x14ac:dyDescent="0.25">
      <c r="A13" s="152" t="s">
        <v>51</v>
      </c>
      <c r="B13" s="73" t="s">
        <v>17</v>
      </c>
      <c r="C13" s="23" t="str" cm="1">
        <f t="array" ref="C13">"["&amp;_xlfn.TEXTJOIN(" ",TRUE,HardpointsFr!B8/1000,HardpointsFr!C8/1000,HardpointsFr!D8/1000)&amp;"]"</f>
        <v>[0.01681 0.58217 0.28109]</v>
      </c>
      <c r="D13" s="12" t="s">
        <v>12</v>
      </c>
      <c r="E13" s="13" t="s">
        <v>47</v>
      </c>
    </row>
    <row r="14" spans="1:5" s="1" customFormat="1" ht="13.5" customHeight="1" thickBot="1" x14ac:dyDescent="0.25">
      <c r="A14" s="150"/>
      <c r="B14" s="74" t="s">
        <v>52</v>
      </c>
      <c r="C14" s="24" t="str" cm="1">
        <f t="array" ref="C14">"["&amp;_xlfn.TEXTJOIN(" ",TRUE,HardpointsFr!B9/1000,HardpointsFr!C9/1000,HardpointsFr!D9/1000)&amp;"]"</f>
        <v>[0 0.64 0.2665]</v>
      </c>
      <c r="D14" s="15" t="s">
        <v>12</v>
      </c>
      <c r="E14" s="16" t="s">
        <v>47</v>
      </c>
    </row>
    <row r="15" spans="1:5" s="1" customFormat="1" ht="13.5" customHeight="1" thickBot="1" x14ac:dyDescent="0.25">
      <c r="A15" s="150"/>
      <c r="B15" s="74" t="s">
        <v>12</v>
      </c>
      <c r="C15" s="25">
        <v>1</v>
      </c>
      <c r="D15" s="15" t="s">
        <v>30</v>
      </c>
      <c r="E15" s="18"/>
    </row>
    <row r="16" spans="1:5" s="1" customFormat="1" ht="13.5" customHeight="1" x14ac:dyDescent="0.2">
      <c r="A16" s="153"/>
      <c r="B16" s="74" t="s">
        <v>53</v>
      </c>
      <c r="C16" s="25">
        <v>-0.3</v>
      </c>
      <c r="D16" s="15" t="s">
        <v>54</v>
      </c>
      <c r="E16" s="16"/>
    </row>
    <row r="17" spans="1:5" s="1" customFormat="1" ht="13.5" customHeight="1" x14ac:dyDescent="0.2">
      <c r="A17" s="148"/>
      <c r="B17" s="74" t="s">
        <v>55</v>
      </c>
      <c r="C17" s="25">
        <v>-1</v>
      </c>
      <c r="D17" s="15" t="s">
        <v>54</v>
      </c>
      <c r="E17" s="16"/>
    </row>
    <row r="18" spans="1:5" s="1" customFormat="1" ht="13.5" customHeight="1" x14ac:dyDescent="0.2">
      <c r="A18" s="148"/>
      <c r="B18" s="74" t="s">
        <v>56</v>
      </c>
      <c r="C18" s="111">
        <v>0.11</v>
      </c>
      <c r="D18" s="15" t="s">
        <v>12</v>
      </c>
      <c r="E18" s="16"/>
    </row>
    <row r="19" spans="1:5" s="1" customFormat="1" ht="13.5" customHeight="1" x14ac:dyDescent="0.2">
      <c r="A19" s="148"/>
      <c r="B19" s="74" t="s">
        <v>57</v>
      </c>
      <c r="C19" s="111">
        <v>0.03</v>
      </c>
      <c r="D19" s="15" t="s">
        <v>12</v>
      </c>
      <c r="E19" s="16"/>
    </row>
    <row r="20" spans="1:5" s="1" customFormat="1" ht="13.5" customHeight="1" thickBot="1" x14ac:dyDescent="0.25">
      <c r="A20" s="147"/>
      <c r="B20" s="77" t="s">
        <v>58</v>
      </c>
      <c r="C20" s="112">
        <v>1.5</v>
      </c>
      <c r="D20" s="21" t="s">
        <v>30</v>
      </c>
      <c r="E20" s="22"/>
    </row>
    <row r="21" spans="1:5" s="1" customFormat="1" ht="13.5" customHeight="1" x14ac:dyDescent="0.2">
      <c r="A21" s="146" t="s">
        <v>59</v>
      </c>
      <c r="B21" s="73" t="s">
        <v>60</v>
      </c>
      <c r="C21" s="23" t="str" cm="1">
        <f t="array" ref="C21">"["&amp;_xlfn.TEXTJOIN(" ",TRUE,HardpointsFr!B10/1000,HardpointsFr!C10/1000,HardpointsFr!D10/1000)&amp;"]"</f>
        <v>[0.105454 0.25 0.126397]</v>
      </c>
      <c r="D21" s="12" t="s">
        <v>12</v>
      </c>
      <c r="E21" s="13" t="s">
        <v>47</v>
      </c>
    </row>
    <row r="22" spans="1:5" s="1" customFormat="1" ht="13.5" customHeight="1" x14ac:dyDescent="0.2">
      <c r="A22" s="148"/>
      <c r="B22" s="14" t="s">
        <v>49</v>
      </c>
      <c r="C22" s="24" t="str" cm="1">
        <f t="array" ref="C22">"["&amp;_xlfn.TEXTJOIN(" ",TRUE,HardpointsFr!B11/1000,HardpointsFr!C11/1000,HardpointsFr!D11/1000)&amp;"]"</f>
        <v>[0.086252 0.575546 0.2065]</v>
      </c>
      <c r="D22" s="15" t="s">
        <v>12</v>
      </c>
      <c r="E22" s="15" t="s">
        <v>47</v>
      </c>
    </row>
    <row r="23" spans="1:5" s="1" customFormat="1" ht="13.5" customHeight="1" thickBot="1" x14ac:dyDescent="0.25">
      <c r="A23" s="147"/>
      <c r="B23" s="19" t="s">
        <v>12</v>
      </c>
      <c r="C23" s="26">
        <v>0.2</v>
      </c>
      <c r="D23" s="21" t="s">
        <v>30</v>
      </c>
      <c r="E23" s="22"/>
    </row>
    <row r="24" spans="1:5" s="1" customFormat="1" ht="13.5" customHeight="1" x14ac:dyDescent="0.2">
      <c r="A24" s="146" t="s">
        <v>61</v>
      </c>
      <c r="B24" s="73" t="s">
        <v>62</v>
      </c>
      <c r="C24" s="23" t="str" cm="1">
        <f t="array" ref="C24">"["&amp;_xlfn.TEXTJOIN(" ",TRUE,HardpointsFr!B12/1000,HardpointsFr!C12/1000,HardpointsFr!D12/1000)&amp;"]"</f>
        <v>[0.007846 0.233225 0.468064]</v>
      </c>
      <c r="D24" s="12" t="s">
        <v>12</v>
      </c>
      <c r="E24" s="13" t="s">
        <v>47</v>
      </c>
    </row>
    <row r="25" spans="1:5" s="1" customFormat="1" ht="13.5" customHeight="1" x14ac:dyDescent="0.2">
      <c r="A25" s="148"/>
      <c r="B25" s="74" t="s">
        <v>63</v>
      </c>
      <c r="C25" s="24" t="str" cm="1">
        <f t="array" ref="C25">"["&amp;_xlfn.TEXTJOIN(" ",TRUE,HardpointsFr!B13/1000,HardpointsFr!C13/1000,HardpointsFr!D13/1000)&amp;"]"</f>
        <v>[0.009519 0.318301 0.312066]</v>
      </c>
      <c r="D25" s="15" t="s">
        <v>12</v>
      </c>
      <c r="E25" s="16" t="s">
        <v>47</v>
      </c>
    </row>
    <row r="26" spans="1:5" s="1" customFormat="1" ht="13.5" customHeight="1" x14ac:dyDescent="0.2">
      <c r="A26" s="154"/>
      <c r="B26" s="78" t="s">
        <v>64</v>
      </c>
      <c r="C26" s="124">
        <v>1.2</v>
      </c>
      <c r="D26" s="125" t="s">
        <v>30</v>
      </c>
      <c r="E26" s="81"/>
    </row>
    <row r="27" spans="1:5" s="1" customFormat="1" ht="13.5" customHeight="1" thickBot="1" x14ac:dyDescent="0.25">
      <c r="A27" s="147"/>
      <c r="B27" s="77" t="s">
        <v>65</v>
      </c>
      <c r="C27" s="20">
        <v>0.8</v>
      </c>
      <c r="D27" s="21" t="s">
        <v>30</v>
      </c>
      <c r="E27" s="22"/>
    </row>
    <row r="28" spans="1:5" s="1" customFormat="1" ht="13.5" customHeight="1" x14ac:dyDescent="0.2">
      <c r="A28" s="146" t="s">
        <v>66</v>
      </c>
      <c r="B28" s="73" t="s">
        <v>67</v>
      </c>
      <c r="C28" s="27">
        <v>2.8000000000000001E-2</v>
      </c>
      <c r="D28" s="12" t="s">
        <v>12</v>
      </c>
      <c r="E28" s="13"/>
    </row>
    <row r="29" spans="1:5" s="1" customFormat="1" ht="13.5" customHeight="1" thickBot="1" x14ac:dyDescent="0.25">
      <c r="A29" s="147"/>
      <c r="B29" s="77" t="s">
        <v>68</v>
      </c>
      <c r="C29" s="20">
        <v>-2.8000000000000001E-2</v>
      </c>
      <c r="D29" s="21" t="s">
        <v>12</v>
      </c>
      <c r="E29" s="22"/>
    </row>
    <row r="30" spans="1:5" s="1" customFormat="1" ht="13.5" customHeight="1" x14ac:dyDescent="0.2">
      <c r="A30" s="146" t="s">
        <v>69</v>
      </c>
      <c r="B30" s="87" t="s">
        <v>60</v>
      </c>
      <c r="C30" s="23" t="str" cm="1">
        <f t="array" ref="C30">"["&amp;_xlfn.TEXTJOIN(" ",TRUE,HardpointsFr!B15/1000,HardpointsFr!C15/1000,HardpointsFr!D15/1000)&amp;"]"</f>
        <v>[0.00954 0.351996 0.310579]</v>
      </c>
      <c r="D30" s="12" t="s">
        <v>12</v>
      </c>
      <c r="E30" s="13" t="s">
        <v>47</v>
      </c>
    </row>
    <row r="31" spans="1:5" s="1" customFormat="1" ht="13.5" customHeight="1" x14ac:dyDescent="0.2">
      <c r="A31" s="148"/>
      <c r="B31" s="88" t="s">
        <v>49</v>
      </c>
      <c r="C31" s="24" t="str" cm="1">
        <f t="array" ref="C31">"["&amp;_xlfn.TEXTJOIN(" ",TRUE,HardpointsFr!B14/1000,HardpointsFr!C14/1000,HardpointsFr!D14/1000)&amp;"]"</f>
        <v>[0.011607 0.54333 0.173935]</v>
      </c>
      <c r="D31" s="15" t="s">
        <v>12</v>
      </c>
      <c r="E31" s="15" t="s">
        <v>47</v>
      </c>
    </row>
    <row r="32" spans="1:5" s="1" customFormat="1" ht="13.5" customHeight="1" thickBot="1" x14ac:dyDescent="0.25">
      <c r="A32" s="147"/>
      <c r="B32" s="89" t="s">
        <v>12</v>
      </c>
      <c r="C32" s="20">
        <v>0.1</v>
      </c>
      <c r="D32" s="21" t="s">
        <v>30</v>
      </c>
      <c r="E32" s="22"/>
    </row>
    <row r="33" spans="1:5" s="1" customFormat="1" ht="13.5" customHeight="1" x14ac:dyDescent="0.2">
      <c r="A33" s="146" t="s">
        <v>70</v>
      </c>
      <c r="B33" s="11" t="s">
        <v>71</v>
      </c>
      <c r="C33" s="23" t="str" cm="1">
        <f t="array" ref="C33">"["&amp;_xlfn.TEXTJOIN(" ",TRUE,HardpointsFr!B16/1000,HardpointsFr!C16/1000,HardpointsFr!D16/1000)&amp;"]"</f>
        <v>[0.0099 0.24489 0.277836]</v>
      </c>
      <c r="D33" s="12" t="s">
        <v>12</v>
      </c>
      <c r="E33" s="13" t="s">
        <v>47</v>
      </c>
    </row>
    <row r="34" spans="1:5" s="1" customFormat="1" ht="13.5" customHeight="1" x14ac:dyDescent="0.2">
      <c r="A34" s="148"/>
      <c r="B34" s="14" t="s">
        <v>72</v>
      </c>
      <c r="C34" s="24" t="str" cm="1">
        <f t="array" ref="C34">"["&amp;_xlfn.TEXTJOIN(" ",TRUE,HardpointsFr!B19/1000,HardpointsFr!C19/1000,HardpointsFr!D19/1000)&amp;"]"</f>
        <v>[0.00974 0.292705 0.292453]</v>
      </c>
      <c r="D34" s="15" t="s">
        <v>12</v>
      </c>
      <c r="E34" s="15" t="s">
        <v>47</v>
      </c>
    </row>
    <row r="35" spans="1:5" s="1" customFormat="1" ht="13.5" customHeight="1" thickBot="1" x14ac:dyDescent="0.25">
      <c r="A35" s="147"/>
      <c r="B35" s="19" t="s">
        <v>12</v>
      </c>
      <c r="C35" s="20">
        <v>0.4</v>
      </c>
      <c r="D35" s="21" t="s">
        <v>30</v>
      </c>
      <c r="E35" s="22"/>
    </row>
  </sheetData>
  <mergeCells count="8">
    <mergeCell ref="A28:A29"/>
    <mergeCell ref="A30:A32"/>
    <mergeCell ref="A33:A35"/>
    <mergeCell ref="A5:A8"/>
    <mergeCell ref="A9:A12"/>
    <mergeCell ref="A13:A20"/>
    <mergeCell ref="A21:A23"/>
    <mergeCell ref="A24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zoomScale="131" workbookViewId="0">
      <selection activeCell="C10" sqref="C10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76.25" customHeight="1" x14ac:dyDescent="0.2"/>
    <row r="2" spans="1:5" ht="15" customHeight="1" x14ac:dyDescent="0.2">
      <c r="A2" s="2" t="s">
        <v>0</v>
      </c>
      <c r="B2" s="3" t="s">
        <v>36</v>
      </c>
      <c r="C2" s="4" t="s">
        <v>1</v>
      </c>
      <c r="D2" s="4" t="s">
        <v>2</v>
      </c>
      <c r="E2" s="5" t="s">
        <v>3</v>
      </c>
    </row>
    <row r="3" spans="1:5" ht="14" customHeight="1" x14ac:dyDescent="0.2">
      <c r="A3" s="6" t="s">
        <v>4</v>
      </c>
      <c r="B3" s="7"/>
      <c r="C3" s="8" t="s">
        <v>40</v>
      </c>
      <c r="D3" s="9"/>
      <c r="E3" s="10"/>
    </row>
    <row r="4" spans="1:5" ht="14" customHeight="1" x14ac:dyDescent="0.2">
      <c r="A4" s="6" t="s">
        <v>6</v>
      </c>
      <c r="B4" s="7"/>
      <c r="C4" s="8" t="s">
        <v>73</v>
      </c>
      <c r="D4" s="9"/>
      <c r="E4" s="10"/>
    </row>
    <row r="5" spans="1:5" ht="14" customHeight="1" thickBot="1" x14ac:dyDescent="0.25">
      <c r="A5" s="6" t="s">
        <v>8</v>
      </c>
      <c r="B5" s="7"/>
      <c r="C5" s="8" t="s">
        <v>74</v>
      </c>
      <c r="D5" s="9"/>
      <c r="E5" s="10"/>
    </row>
    <row r="6" spans="1:5" ht="13.5" customHeight="1" x14ac:dyDescent="0.2">
      <c r="A6" s="121" t="s">
        <v>75</v>
      </c>
      <c r="B6" s="73"/>
      <c r="C6" s="23" t="str">
        <f>"["&amp;_xlfn.TEXTJOIN(" ",TRUE,HardpointsFr!B19/1000,HardpointsFr!C19/1000,HardpointsFr!D19/1000)&amp;"]"</f>
        <v>[0.00974 0.292705 0.292453]</v>
      </c>
      <c r="D6" s="12" t="s">
        <v>12</v>
      </c>
      <c r="E6" s="13" t="s">
        <v>47</v>
      </c>
    </row>
    <row r="7" spans="1:5" ht="13.5" customHeight="1" x14ac:dyDescent="0.2">
      <c r="A7" s="122" t="s">
        <v>60</v>
      </c>
      <c r="B7" s="74"/>
      <c r="C7" s="24" t="str">
        <f>"["&amp;_xlfn.TEXTJOIN(" ",TRUE,HardpointsFr!B17/1000,HardpointsFr!C17/1000,HardpointsFr!D17/1000)&amp;"]"</f>
        <v>[-0.007 0.262849 0.051519]</v>
      </c>
      <c r="D7" s="15" t="s">
        <v>12</v>
      </c>
      <c r="E7" s="16" t="s">
        <v>47</v>
      </c>
    </row>
    <row r="8" spans="1:5" ht="13.5" customHeight="1" x14ac:dyDescent="0.2">
      <c r="A8" s="122" t="s">
        <v>49</v>
      </c>
      <c r="B8" s="74"/>
      <c r="C8" s="24" t="str" cm="1">
        <f t="array" ref="C8">"["&amp;_xlfn.TEXTJOIN(" ",TRUE,HardpointsFr!B18/1000,HardpointsFr!C18/1000,HardpointsFr!D18/1000)&amp;"]"</f>
        <v>[-0.067747 0.262884 0.051354]</v>
      </c>
      <c r="D8" s="15" t="s">
        <v>12</v>
      </c>
      <c r="E8" s="16" t="s">
        <v>47</v>
      </c>
    </row>
    <row r="9" spans="1:5" ht="13.5" customHeight="1" x14ac:dyDescent="0.2">
      <c r="A9" s="122" t="s">
        <v>76</v>
      </c>
      <c r="B9" s="74"/>
      <c r="C9" s="133">
        <f>2.2813*2</f>
        <v>4.5625999999999998</v>
      </c>
      <c r="D9" s="85" t="s">
        <v>77</v>
      </c>
      <c r="E9" s="16"/>
    </row>
    <row r="10" spans="1:5" ht="13.5" customHeight="1" thickBot="1" x14ac:dyDescent="0.25">
      <c r="A10" s="123" t="s">
        <v>12</v>
      </c>
      <c r="B10" s="77"/>
      <c r="C10" s="134">
        <v>0.7</v>
      </c>
      <c r="D10" s="21" t="s">
        <v>30</v>
      </c>
      <c r="E10" s="2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>
      <selection activeCell="E32" sqref="E32"/>
    </sheetView>
  </sheetViews>
  <sheetFormatPr baseColWidth="10" defaultColWidth="8.83203125" defaultRowHeight="14.5" customHeight="1" x14ac:dyDescent="0.2"/>
  <cols>
    <col min="1" max="1" width="14.5" style="1" customWidth="1"/>
    <col min="2" max="2" width="24.5" style="1" bestFit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42</v>
      </c>
      <c r="D2" s="9"/>
      <c r="E2" s="10"/>
    </row>
    <row r="3" spans="1:5" ht="14" customHeight="1" x14ac:dyDescent="0.2">
      <c r="A3" s="6" t="s">
        <v>6</v>
      </c>
      <c r="B3" s="7"/>
      <c r="C3" s="8" t="s">
        <v>78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79</v>
      </c>
      <c r="D4" s="9"/>
      <c r="E4" s="10"/>
    </row>
    <row r="5" spans="1:5" ht="14" customHeight="1" x14ac:dyDescent="0.2">
      <c r="A5" s="144" t="s">
        <v>80</v>
      </c>
      <c r="B5" s="73" t="s">
        <v>81</v>
      </c>
      <c r="C5" s="40" t="str">
        <f>"["&amp;_xlfn.TEXTJOIN(" ",TRUE,HardpointsFr!B20/1000,HardpointsFr!C20/1000,HardpointsFr!D20/1000)&amp;"]"</f>
        <v>[0.105454 0 0.126397]</v>
      </c>
      <c r="D5" s="12" t="s">
        <v>12</v>
      </c>
      <c r="E5" s="13" t="s">
        <v>47</v>
      </c>
    </row>
    <row r="6" spans="1:5" ht="14" customHeight="1" x14ac:dyDescent="0.2">
      <c r="A6" s="157"/>
      <c r="B6" s="92" t="s">
        <v>12</v>
      </c>
      <c r="C6" s="38">
        <v>0.87</v>
      </c>
      <c r="D6" s="39" t="s">
        <v>30</v>
      </c>
      <c r="E6" s="18"/>
    </row>
    <row r="7" spans="1:5" ht="14" customHeight="1" x14ac:dyDescent="0.2">
      <c r="A7" s="158"/>
      <c r="B7" s="74" t="s">
        <v>82</v>
      </c>
      <c r="C7" s="37">
        <v>50</v>
      </c>
      <c r="D7" s="15" t="s">
        <v>83</v>
      </c>
      <c r="E7" s="15"/>
    </row>
    <row r="8" spans="1:5" ht="14" customHeight="1" x14ac:dyDescent="0.2">
      <c r="A8" s="159" t="s">
        <v>84</v>
      </c>
      <c r="B8" s="74" t="s">
        <v>85</v>
      </c>
      <c r="C8" s="37">
        <v>0.72919999999999996</v>
      </c>
      <c r="D8" s="85" t="s">
        <v>86</v>
      </c>
      <c r="E8" s="41"/>
    </row>
    <row r="9" spans="1:5" ht="14" customHeight="1" x14ac:dyDescent="0.2">
      <c r="A9" s="160"/>
      <c r="B9" s="74" t="s">
        <v>8</v>
      </c>
      <c r="C9" s="139" t="s">
        <v>87</v>
      </c>
      <c r="D9" s="15"/>
      <c r="E9" s="41"/>
    </row>
    <row r="10" spans="1:5" ht="14" customHeight="1" x14ac:dyDescent="0.2">
      <c r="A10" s="160"/>
      <c r="B10" s="74" t="s">
        <v>12</v>
      </c>
      <c r="C10" s="24">
        <v>0.5</v>
      </c>
      <c r="D10" s="85" t="s">
        <v>30</v>
      </c>
      <c r="E10" s="16"/>
    </row>
    <row r="11" spans="1:5" ht="14" customHeight="1" thickBot="1" x14ac:dyDescent="0.25">
      <c r="A11" s="156"/>
      <c r="B11" s="74" t="s">
        <v>81</v>
      </c>
      <c r="C11" s="37" t="str">
        <f>"["&amp;_xlfn.TEXTJOIN(" ",TRUE,HardpointsFr!B21/1000,HardpointsFr!C21/1000,HardpointsFr!D21/1000)&amp;"]"</f>
        <v>[-0.324965 0 0.533792]</v>
      </c>
      <c r="D11" s="15" t="s">
        <v>12</v>
      </c>
      <c r="E11" s="15" t="s">
        <v>47</v>
      </c>
    </row>
    <row r="12" spans="1:5" ht="14.5" customHeight="1" x14ac:dyDescent="0.2">
      <c r="A12" s="155" t="s">
        <v>88</v>
      </c>
      <c r="B12" s="74" t="s">
        <v>89</v>
      </c>
      <c r="C12" s="37">
        <v>1.2732E-2</v>
      </c>
      <c r="D12" s="85" t="s">
        <v>12</v>
      </c>
      <c r="E12" s="41"/>
    </row>
    <row r="13" spans="1:5" ht="14.5" customHeight="1" x14ac:dyDescent="0.2">
      <c r="A13" s="160"/>
      <c r="B13" s="74" t="s">
        <v>12</v>
      </c>
      <c r="C13" s="139">
        <v>0.05</v>
      </c>
      <c r="D13" s="85" t="s">
        <v>30</v>
      </c>
      <c r="E13" s="41"/>
    </row>
    <row r="14" spans="1:5" ht="14.5" customHeight="1" x14ac:dyDescent="0.2">
      <c r="A14" s="161"/>
      <c r="B14" s="74" t="s">
        <v>81</v>
      </c>
      <c r="C14" s="24" t="str">
        <f>"["&amp;_xlfn.TEXTJOIN(" ",TRUE,HardpointsFr!B20/1000 - SIN(C8) * C12, 0, HardpointsFr!D20/1000-C8*C12)&amp;"]"</f>
        <v>[0.0969710085717026 0 0.1171128256]</v>
      </c>
      <c r="D14" s="85" t="s">
        <v>12</v>
      </c>
      <c r="E14" s="16"/>
    </row>
    <row r="15" spans="1:5" ht="14.5" customHeight="1" x14ac:dyDescent="0.2">
      <c r="A15" s="162" t="s">
        <v>90</v>
      </c>
      <c r="B15" s="74" t="s">
        <v>12</v>
      </c>
      <c r="C15" s="37">
        <v>0.2</v>
      </c>
      <c r="D15" s="85" t="s">
        <v>30</v>
      </c>
      <c r="E15" s="15"/>
    </row>
    <row r="16" spans="1:5" ht="14.5" customHeight="1" thickBot="1" x14ac:dyDescent="0.25">
      <c r="A16" s="156"/>
      <c r="B16" s="74" t="s">
        <v>91</v>
      </c>
      <c r="C16" s="37">
        <f>SQRT(SUMXMY2(HardpointsFr!B20:D20,HardpointsFr!B21:D21))/1000/2</f>
        <v>0.29632381003979413</v>
      </c>
      <c r="D16" s="85" t="s">
        <v>12</v>
      </c>
      <c r="E16" s="15"/>
    </row>
    <row r="17" spans="1:5" ht="14.5" customHeight="1" thickBot="1" x14ac:dyDescent="0.25">
      <c r="A17" s="138" t="s">
        <v>92</v>
      </c>
      <c r="B17" s="74" t="s">
        <v>12</v>
      </c>
      <c r="C17" s="37">
        <v>0.2</v>
      </c>
      <c r="D17" s="85" t="s">
        <v>30</v>
      </c>
      <c r="E17" s="15"/>
    </row>
    <row r="18" spans="1:5" ht="14" customHeight="1" x14ac:dyDescent="0.2">
      <c r="A18" s="155" t="s">
        <v>93</v>
      </c>
      <c r="B18" s="74" t="s">
        <v>94</v>
      </c>
      <c r="C18" s="140" t="s">
        <v>95</v>
      </c>
      <c r="D18" s="85" t="s">
        <v>86</v>
      </c>
      <c r="E18" s="85" t="s">
        <v>96</v>
      </c>
    </row>
    <row r="19" spans="1:5" ht="14.5" customHeight="1" thickBot="1" x14ac:dyDescent="0.25">
      <c r="A19" s="156"/>
      <c r="B19" s="74" t="s">
        <v>97</v>
      </c>
      <c r="C19" s="140" t="s">
        <v>98</v>
      </c>
      <c r="D19" s="85" t="s">
        <v>12</v>
      </c>
      <c r="E19" s="15" t="s">
        <v>99</v>
      </c>
    </row>
  </sheetData>
  <mergeCells count="5">
    <mergeCell ref="A18:A19"/>
    <mergeCell ref="A5:A7"/>
    <mergeCell ref="A8:A11"/>
    <mergeCell ref="A12:A14"/>
    <mergeCell ref="A15:A16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zoomScale="156" workbookViewId="0">
      <selection activeCell="C23" sqref="C23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thickBot="1" x14ac:dyDescent="0.25">
      <c r="A2" s="6" t="s">
        <v>4</v>
      </c>
      <c r="B2" s="7"/>
      <c r="C2" s="8" t="s">
        <v>37</v>
      </c>
      <c r="D2" s="9"/>
      <c r="E2" s="52"/>
    </row>
    <row r="3" spans="1:5" ht="14" customHeight="1" thickBot="1" x14ac:dyDescent="0.25">
      <c r="A3" s="6" t="s">
        <v>6</v>
      </c>
      <c r="B3" s="7"/>
      <c r="C3" s="8" t="s">
        <v>43</v>
      </c>
      <c r="D3" s="9"/>
      <c r="E3" s="52"/>
    </row>
    <row r="4" spans="1:5" ht="14" customHeight="1" thickBot="1" x14ac:dyDescent="0.25">
      <c r="A4" s="6" t="s">
        <v>8</v>
      </c>
      <c r="B4" s="7"/>
      <c r="C4" s="101" t="s">
        <v>37</v>
      </c>
      <c r="D4" s="9"/>
      <c r="E4" s="52"/>
    </row>
    <row r="5" spans="1:5" ht="14" customHeight="1" thickBot="1" x14ac:dyDescent="0.25">
      <c r="A5" s="6" t="s">
        <v>37</v>
      </c>
      <c r="B5" s="113"/>
      <c r="C5" s="115" t="s">
        <v>100</v>
      </c>
      <c r="D5" s="116" t="s">
        <v>39</v>
      </c>
      <c r="E5" s="117"/>
    </row>
    <row r="6" spans="1:5" ht="14.5" customHeight="1" thickBot="1" x14ac:dyDescent="0.25">
      <c r="A6" s="6" t="s">
        <v>40</v>
      </c>
      <c r="B6" s="77"/>
      <c r="C6" s="84" t="s">
        <v>101</v>
      </c>
      <c r="D6" s="86" t="s">
        <v>39</v>
      </c>
      <c r="E6" s="22"/>
    </row>
    <row r="7" spans="1:5" ht="14.5" customHeight="1" thickBot="1" x14ac:dyDescent="0.25">
      <c r="A7" s="163" t="s">
        <v>42</v>
      </c>
      <c r="B7" s="126" t="s">
        <v>102</v>
      </c>
      <c r="C7" s="127" t="s">
        <v>42</v>
      </c>
      <c r="D7" s="116"/>
      <c r="E7" s="128"/>
    </row>
    <row r="8" spans="1:5" ht="14" customHeight="1" thickBot="1" x14ac:dyDescent="0.25">
      <c r="A8" s="164"/>
      <c r="B8" s="126" t="s">
        <v>8</v>
      </c>
      <c r="C8" s="115" t="s">
        <v>103</v>
      </c>
      <c r="D8" s="116"/>
      <c r="E8" s="117"/>
    </row>
  </sheetData>
  <mergeCells count="1">
    <mergeCell ref="A7:A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A869-B0F3-7240-9246-177BC72F43B2}">
  <dimension ref="A1:E35"/>
  <sheetViews>
    <sheetView topLeftCell="A3" zoomScale="150" workbookViewId="0">
      <selection activeCell="C18" sqref="C18"/>
    </sheetView>
  </sheetViews>
  <sheetFormatPr baseColWidth="10" defaultColWidth="11.5" defaultRowHeight="15" x14ac:dyDescent="0.2"/>
  <cols>
    <col min="1" max="1" width="13.83203125" bestFit="1" customWidth="1"/>
    <col min="2" max="2" width="12" bestFit="1" customWidth="1"/>
    <col min="3" max="3" width="38.1640625" bestFit="1" customWidth="1"/>
    <col min="4" max="4" width="10.33203125" customWidth="1"/>
    <col min="5" max="5" width="50.33203125" customWidth="1"/>
  </cols>
  <sheetData>
    <row r="1" spans="1:5" s="1" customFormat="1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s="1" customFormat="1" ht="14" customHeight="1" thickBot="1" x14ac:dyDescent="0.25">
      <c r="A2" s="6" t="s">
        <v>4</v>
      </c>
      <c r="B2" s="7"/>
      <c r="C2" s="101" t="s">
        <v>37</v>
      </c>
      <c r="D2" s="9"/>
      <c r="E2" s="10"/>
    </row>
    <row r="3" spans="1:5" s="1" customFormat="1" ht="14" customHeight="1" thickBot="1" x14ac:dyDescent="0.25">
      <c r="A3" s="6" t="s">
        <v>6</v>
      </c>
      <c r="B3" s="7"/>
      <c r="C3" s="101" t="s">
        <v>43</v>
      </c>
      <c r="D3" s="9"/>
      <c r="E3" s="10"/>
    </row>
    <row r="4" spans="1:5" s="1" customFormat="1" ht="14" customHeight="1" thickBot="1" x14ac:dyDescent="0.25">
      <c r="A4" s="6" t="s">
        <v>8</v>
      </c>
      <c r="B4" s="7"/>
      <c r="C4" s="101" t="s">
        <v>104</v>
      </c>
      <c r="D4" s="9"/>
      <c r="E4" s="10"/>
    </row>
    <row r="5" spans="1:5" s="1" customFormat="1" ht="14" customHeight="1" thickBot="1" x14ac:dyDescent="0.25">
      <c r="A5" s="163" t="s">
        <v>45</v>
      </c>
      <c r="B5" s="73" t="s">
        <v>46</v>
      </c>
      <c r="C5" s="23" t="str">
        <f>"["&amp;_xlfn.TEXTJOIN(" ",TRUE,HardpointsRr!B2/1000 +1.575,HardpointsRr!C2/1000,HardpointsRr!D2/1000)&amp;"]"</f>
        <v>[0.185 0.305 0.11135]</v>
      </c>
      <c r="D5" s="12" t="s">
        <v>12</v>
      </c>
      <c r="E5" s="53" t="s">
        <v>47</v>
      </c>
    </row>
    <row r="6" spans="1:5" s="1" customFormat="1" ht="16" thickBot="1" x14ac:dyDescent="0.25">
      <c r="A6" s="168"/>
      <c r="B6" s="74" t="s">
        <v>48</v>
      </c>
      <c r="C6" s="23" t="str">
        <f>"["&amp;_xlfn.TEXTJOIN(" ",TRUE,HardpointsRr!B3/1000 +1.575,HardpointsRr!C3/1000,HardpointsRr!D3/1000)&amp;"]"</f>
        <v>[-0.255 0.27 0.11135]</v>
      </c>
      <c r="D6" s="44" t="s">
        <v>12</v>
      </c>
      <c r="E6" s="54" t="s">
        <v>47</v>
      </c>
    </row>
    <row r="7" spans="1:5" s="1" customFormat="1" x14ac:dyDescent="0.2">
      <c r="A7" s="168"/>
      <c r="B7" s="74" t="s">
        <v>49</v>
      </c>
      <c r="C7" s="23" t="str">
        <f>"["&amp;_xlfn.TEXTJOIN(" ",TRUE,HardpointsRr!B4/1000 +1.575,HardpointsRr!C4/1000,HardpointsRr!D4/1000)&amp;"]"</f>
        <v>[-0.004278 0.574497 0.144]</v>
      </c>
      <c r="D7" s="45" t="s">
        <v>12</v>
      </c>
      <c r="E7" s="55" t="s">
        <v>47</v>
      </c>
    </row>
    <row r="8" spans="1:5" s="1" customFormat="1" ht="14" customHeight="1" thickBot="1" x14ac:dyDescent="0.25">
      <c r="A8" s="164"/>
      <c r="B8" s="77" t="s">
        <v>12</v>
      </c>
      <c r="C8" s="47">
        <v>0.16500000000000001</v>
      </c>
      <c r="D8" s="46" t="s">
        <v>12</v>
      </c>
      <c r="E8" s="56"/>
    </row>
    <row r="9" spans="1:5" s="1" customFormat="1" ht="13.5" customHeight="1" thickBot="1" x14ac:dyDescent="0.25">
      <c r="A9" s="169" t="s">
        <v>50</v>
      </c>
      <c r="B9" s="73" t="s">
        <v>46</v>
      </c>
      <c r="C9" s="23" t="str">
        <f>"["&amp;_xlfn.TEXTJOIN(" ",TRUE,HardpointsRr!B5/1000 +1.575,HardpointsRr!C5/1000,HardpointsRr!D5/1000)&amp;"]"</f>
        <v>[0.185 0.305 0.313981]</v>
      </c>
      <c r="D9" s="48" t="s">
        <v>12</v>
      </c>
      <c r="E9" s="57" t="s">
        <v>47</v>
      </c>
    </row>
    <row r="10" spans="1:5" s="1" customFormat="1" ht="13.5" customHeight="1" thickBot="1" x14ac:dyDescent="0.25">
      <c r="A10" s="170"/>
      <c r="B10" s="74" t="s">
        <v>48</v>
      </c>
      <c r="C10" s="23" t="str">
        <f>"["&amp;_xlfn.TEXTJOIN(" ",TRUE,HardpointsRr!B6/1000 +1.575,HardpointsRr!C6/1000,HardpointsRr!D6/1000)&amp;"]"</f>
        <v>[-0.255 0.27 0.339475]</v>
      </c>
      <c r="D10" s="51" t="s">
        <v>12</v>
      </c>
      <c r="E10" s="58" t="s">
        <v>47</v>
      </c>
    </row>
    <row r="11" spans="1:5" s="1" customFormat="1" ht="13.5" customHeight="1" x14ac:dyDescent="0.2">
      <c r="A11" s="170"/>
      <c r="B11" s="74" t="s">
        <v>49</v>
      </c>
      <c r="C11" s="23" t="str">
        <f>"["&amp;_xlfn.TEXTJOIN(" ",TRUE,HardpointsRr!B7/1000 +1.575,HardpointsRr!C7/1000,HardpointsRr!D7/1000)&amp;"]"</f>
        <v>[0.00429499999999994 0.508715 0.3895]</v>
      </c>
      <c r="D11" s="49" t="s">
        <v>12</v>
      </c>
      <c r="E11" s="59" t="s">
        <v>47</v>
      </c>
    </row>
    <row r="12" spans="1:5" s="1" customFormat="1" ht="13.5" customHeight="1" thickBot="1" x14ac:dyDescent="0.25">
      <c r="A12" s="171"/>
      <c r="B12" s="77" t="s">
        <v>12</v>
      </c>
      <c r="C12" s="20">
        <v>0.12</v>
      </c>
      <c r="D12" s="50" t="s">
        <v>30</v>
      </c>
      <c r="E12" s="60" t="s">
        <v>47</v>
      </c>
    </row>
    <row r="13" spans="1:5" s="1" customFormat="1" ht="13.5" customHeight="1" thickBot="1" x14ac:dyDescent="0.25">
      <c r="A13" s="144" t="s">
        <v>51</v>
      </c>
      <c r="B13" s="73" t="s">
        <v>17</v>
      </c>
      <c r="C13" s="23" t="str">
        <f>"["&amp;_xlfn.TEXTJOIN(" ",TRUE,HardpointsRr!B8/1000 +1.575,HardpointsRr!C8/1000,HardpointsRr!D8/1000)&amp;"]"</f>
        <v>[0.00571299999999986 0.568863 0.272678]</v>
      </c>
      <c r="D13" s="12" t="s">
        <v>12</v>
      </c>
      <c r="E13" s="53" t="s">
        <v>47</v>
      </c>
    </row>
    <row r="14" spans="1:5" s="1" customFormat="1" ht="13.5" customHeight="1" x14ac:dyDescent="0.2">
      <c r="A14" s="157"/>
      <c r="B14" s="74" t="s">
        <v>52</v>
      </c>
      <c r="C14" s="23" t="str">
        <f>"["&amp;_xlfn.TEXTJOIN(" ",TRUE,HardpointsRr!B9/1000 +1.575,HardpointsRr!C9/1000,HardpointsRr!D9/1000)&amp;"]"</f>
        <v>[0 0.625 0.2665]</v>
      </c>
      <c r="D14" s="41" t="s">
        <v>12</v>
      </c>
      <c r="E14" s="61" t="s">
        <v>47</v>
      </c>
    </row>
    <row r="15" spans="1:5" s="1" customFormat="1" ht="13.5" customHeight="1" x14ac:dyDescent="0.2">
      <c r="A15" s="157"/>
      <c r="B15" s="74" t="s">
        <v>12</v>
      </c>
      <c r="C15" s="25">
        <v>1</v>
      </c>
      <c r="D15" s="41" t="s">
        <v>30</v>
      </c>
      <c r="E15" s="62"/>
    </row>
    <row r="16" spans="1:5" s="1" customFormat="1" ht="13.5" customHeight="1" x14ac:dyDescent="0.2">
      <c r="A16" s="157"/>
      <c r="B16" s="74" t="s">
        <v>53</v>
      </c>
      <c r="C16" s="25">
        <v>0.1</v>
      </c>
      <c r="D16" s="15" t="s">
        <v>54</v>
      </c>
      <c r="E16" s="60"/>
    </row>
    <row r="17" spans="1:5" s="1" customFormat="1" ht="13.5" customHeight="1" x14ac:dyDescent="0.2">
      <c r="A17" s="157"/>
      <c r="B17" s="74" t="s">
        <v>55</v>
      </c>
      <c r="C17" s="25">
        <v>-0.4</v>
      </c>
      <c r="D17" s="15" t="s">
        <v>54</v>
      </c>
      <c r="E17" s="63"/>
    </row>
    <row r="18" spans="1:5" s="1" customFormat="1" ht="13.5" customHeight="1" x14ac:dyDescent="0.2">
      <c r="A18" s="157"/>
      <c r="B18" s="74" t="s">
        <v>56</v>
      </c>
      <c r="C18" s="111">
        <v>0.11</v>
      </c>
      <c r="D18" s="15" t="s">
        <v>12</v>
      </c>
      <c r="E18" s="63"/>
    </row>
    <row r="19" spans="1:5" s="1" customFormat="1" ht="13.5" customHeight="1" x14ac:dyDescent="0.2">
      <c r="A19" s="157"/>
      <c r="B19" s="74" t="s">
        <v>57</v>
      </c>
      <c r="C19" s="111">
        <v>0.03</v>
      </c>
      <c r="D19" s="15" t="s">
        <v>12</v>
      </c>
      <c r="E19" s="63"/>
    </row>
    <row r="20" spans="1:5" s="1" customFormat="1" ht="13.5" customHeight="1" thickBot="1" x14ac:dyDescent="0.25">
      <c r="A20" s="145"/>
      <c r="B20" s="77" t="s">
        <v>58</v>
      </c>
      <c r="C20" s="112">
        <v>1.5</v>
      </c>
      <c r="D20" s="21" t="s">
        <v>30</v>
      </c>
      <c r="E20" s="64"/>
    </row>
    <row r="21" spans="1:5" s="1" customFormat="1" ht="13.5" customHeight="1" thickBot="1" x14ac:dyDescent="0.25">
      <c r="A21" s="144" t="s">
        <v>59</v>
      </c>
      <c r="B21" s="73" t="s">
        <v>60</v>
      </c>
      <c r="C21" s="23" t="str">
        <f>"["&amp;_xlfn.TEXTJOIN(" ",TRUE,HardpointsRr!B10/1000 +1.575,HardpointsRr!C10/1000,HardpointsRr!D10/1000)&amp;"]"</f>
        <v>[-0.255 0.27 0.178642]</v>
      </c>
      <c r="D21" s="42" t="s">
        <v>12</v>
      </c>
      <c r="E21" s="65" t="s">
        <v>47</v>
      </c>
    </row>
    <row r="22" spans="1:5" s="1" customFormat="1" ht="13.5" customHeight="1" x14ac:dyDescent="0.2">
      <c r="A22" s="157"/>
      <c r="B22" s="14" t="s">
        <v>49</v>
      </c>
      <c r="C22" s="23" t="str">
        <f>"["&amp;_xlfn.TEXTJOIN(" ",TRUE,HardpointsRr!B11/1000 +1.575,HardpointsRr!C11/1000,HardpointsRr!D11/1000)&amp;"]"</f>
        <v>[-0.101222 0.578 0.2315]</v>
      </c>
      <c r="D22" s="41" t="s">
        <v>12</v>
      </c>
      <c r="E22" s="58" t="s">
        <v>47</v>
      </c>
    </row>
    <row r="23" spans="1:5" s="1" customFormat="1" ht="13.5" customHeight="1" thickBot="1" x14ac:dyDescent="0.25">
      <c r="A23" s="145"/>
      <c r="B23" s="19" t="s">
        <v>12</v>
      </c>
      <c r="C23" s="26">
        <v>0.2</v>
      </c>
      <c r="D23" s="21" t="s">
        <v>30</v>
      </c>
      <c r="E23" s="66"/>
    </row>
    <row r="24" spans="1:5" s="1" customFormat="1" ht="13.5" customHeight="1" thickBot="1" x14ac:dyDescent="0.25">
      <c r="A24" s="144" t="s">
        <v>61</v>
      </c>
      <c r="B24" s="73" t="s">
        <v>62</v>
      </c>
      <c r="C24" s="23" t="str">
        <f>"["&amp;_xlfn.TEXTJOIN(" ",TRUE,HardpointsRr!B12/1000 + 1.575,HardpointsRr!C12/1000,HardpointsRr!D12/1000)&amp;"]"</f>
        <v>[0.176138 0.283652 0.421807]</v>
      </c>
      <c r="D24" s="42" t="s">
        <v>12</v>
      </c>
      <c r="E24" s="59" t="s">
        <v>47</v>
      </c>
    </row>
    <row r="25" spans="1:5" s="1" customFormat="1" ht="13.5" customHeight="1" x14ac:dyDescent="0.2">
      <c r="A25" s="157"/>
      <c r="B25" s="74" t="s">
        <v>63</v>
      </c>
      <c r="C25" s="23" t="str">
        <f>"["&amp;_xlfn.TEXTJOIN(" ",TRUE,(HardpointsRr!B13+ 1575)/1000,HardpointsRr!C13/1000,HardpointsRr!D13/1000)&amp;"]"</f>
        <v>[-0.00742800000000011 0.264547 0.466956]</v>
      </c>
      <c r="D25" s="15" t="s">
        <v>12</v>
      </c>
      <c r="E25" s="60" t="s">
        <v>47</v>
      </c>
    </row>
    <row r="26" spans="1:5" s="1" customFormat="1" ht="13.5" customHeight="1" x14ac:dyDescent="0.2">
      <c r="A26" s="157"/>
      <c r="B26" s="78" t="s">
        <v>65</v>
      </c>
      <c r="C26" s="124">
        <v>0.8</v>
      </c>
      <c r="D26" s="79"/>
      <c r="E26" s="71"/>
    </row>
    <row r="27" spans="1:5" s="1" customFormat="1" ht="13.5" customHeight="1" thickBot="1" x14ac:dyDescent="0.25">
      <c r="A27" s="145"/>
      <c r="B27" s="77" t="s">
        <v>64</v>
      </c>
      <c r="C27" s="20">
        <v>1.2</v>
      </c>
      <c r="D27" s="21" t="s">
        <v>30</v>
      </c>
      <c r="E27" s="67"/>
    </row>
    <row r="28" spans="1:5" s="1" customFormat="1" ht="13.5" customHeight="1" x14ac:dyDescent="0.2">
      <c r="A28" s="144" t="s">
        <v>66</v>
      </c>
      <c r="B28" s="73" t="s">
        <v>67</v>
      </c>
      <c r="C28" s="27">
        <v>2.8000000000000001E-2</v>
      </c>
      <c r="D28" s="12" t="s">
        <v>12</v>
      </c>
      <c r="E28" s="68"/>
    </row>
    <row r="29" spans="1:5" s="1" customFormat="1" ht="13.5" customHeight="1" thickBot="1" x14ac:dyDescent="0.25">
      <c r="A29" s="145"/>
      <c r="B29" s="77" t="s">
        <v>68</v>
      </c>
      <c r="C29" s="20">
        <v>-2.8000000000000001E-2</v>
      </c>
      <c r="D29" s="21" t="s">
        <v>12</v>
      </c>
      <c r="E29" s="67"/>
    </row>
    <row r="30" spans="1:5" s="1" customFormat="1" ht="13.5" customHeight="1" thickBot="1" x14ac:dyDescent="0.25">
      <c r="A30" s="165" t="s">
        <v>69</v>
      </c>
      <c r="B30" s="87" t="s">
        <v>49</v>
      </c>
      <c r="C30" s="23" t="str">
        <f>"["&amp;_xlfn.TEXTJOIN(" ",TRUE,HardpointsRr!B14/1000 + 1.575,HardpointsRr!C14/1000,HardpointsRr!D14/1000)&amp;"]"</f>
        <v>[-0.0234320000000001 0.528362 0.164116]</v>
      </c>
      <c r="D30" s="12" t="s">
        <v>12</v>
      </c>
      <c r="E30" s="53" t="s">
        <v>47</v>
      </c>
    </row>
    <row r="31" spans="1:5" s="1" customFormat="1" ht="13.5" customHeight="1" x14ac:dyDescent="0.2">
      <c r="A31" s="166"/>
      <c r="B31" s="88" t="s">
        <v>60</v>
      </c>
      <c r="C31" s="23" t="str">
        <f>"["&amp;_xlfn.TEXTJOIN(" ",TRUE,HardpointsRr!B15/1000 + 1.575,HardpointsRr!C15/1000,HardpointsRr!D15/1000)&amp;"]"</f>
        <v>[-0.088023 0.351751 0.387308]</v>
      </c>
      <c r="D31" s="41" t="s">
        <v>12</v>
      </c>
      <c r="E31" s="58" t="s">
        <v>47</v>
      </c>
    </row>
    <row r="32" spans="1:5" s="1" customFormat="1" ht="13.5" customHeight="1" thickBot="1" x14ac:dyDescent="0.25">
      <c r="A32" s="167"/>
      <c r="B32" s="89" t="s">
        <v>12</v>
      </c>
      <c r="C32" s="20">
        <v>0.1</v>
      </c>
      <c r="D32" s="21" t="s">
        <v>30</v>
      </c>
      <c r="E32" s="69"/>
    </row>
    <row r="33" spans="1:5" s="1" customFormat="1" ht="13.5" customHeight="1" x14ac:dyDescent="0.2">
      <c r="A33" s="144" t="s">
        <v>70</v>
      </c>
      <c r="B33" s="11" t="s">
        <v>71</v>
      </c>
      <c r="C33" s="23" t="str">
        <f>"["&amp;_xlfn.TEXTJOIN(" ",TRUE,HardpointsRr!B16/1000+ 1.575,HardpointsRr!C16/1000,HardpointsRr!D16/1000)&amp;"]"</f>
        <v>[-0.0107710000000001 0.318427 0.41135]</v>
      </c>
      <c r="D33" s="12" t="s">
        <v>12</v>
      </c>
      <c r="E33" s="53" t="s">
        <v>47</v>
      </c>
    </row>
    <row r="34" spans="1:5" s="1" customFormat="1" ht="13.5" customHeight="1" x14ac:dyDescent="0.2">
      <c r="A34" s="157"/>
      <c r="B34" s="14" t="s">
        <v>72</v>
      </c>
      <c r="C34" s="24" t="str">
        <f>"["&amp;_xlfn.TEXTJOIN(" ",TRUE,HardpointsRr!B19/1000+ 1.575,HardpointsRr!C19/1000,HardpointsRr!D19/1000)&amp;"]"</f>
        <v>[-0.027577 0.286348 0.447044]</v>
      </c>
      <c r="D34" s="41" t="s">
        <v>12</v>
      </c>
      <c r="E34" s="58" t="s">
        <v>47</v>
      </c>
    </row>
    <row r="35" spans="1:5" s="1" customFormat="1" ht="13.5" customHeight="1" thickBot="1" x14ac:dyDescent="0.25">
      <c r="A35" s="145"/>
      <c r="B35" s="19" t="s">
        <v>12</v>
      </c>
      <c r="C35" s="20">
        <v>0.4</v>
      </c>
      <c r="D35" s="21" t="s">
        <v>30</v>
      </c>
      <c r="E35" s="69"/>
    </row>
  </sheetData>
  <mergeCells count="8">
    <mergeCell ref="A30:A32"/>
    <mergeCell ref="A33:A35"/>
    <mergeCell ref="A5:A8"/>
    <mergeCell ref="A9:A12"/>
    <mergeCell ref="A13:A20"/>
    <mergeCell ref="A21:A23"/>
    <mergeCell ref="A24:A27"/>
    <mergeCell ref="A28:A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zoomScale="125" workbookViewId="0">
      <selection activeCell="C19" sqref="C19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40</v>
      </c>
      <c r="D2" s="9"/>
      <c r="E2" s="10"/>
    </row>
    <row r="3" spans="1:5" ht="15" customHeight="1" x14ac:dyDescent="0.2">
      <c r="A3" s="6" t="s">
        <v>6</v>
      </c>
      <c r="B3" s="7"/>
      <c r="C3" s="8" t="s">
        <v>73</v>
      </c>
      <c r="D3" s="9"/>
      <c r="E3" s="10"/>
    </row>
    <row r="4" spans="1:5" ht="15" customHeight="1" thickBot="1" x14ac:dyDescent="0.25">
      <c r="A4" s="6" t="s">
        <v>8</v>
      </c>
      <c r="B4" s="7"/>
      <c r="C4" s="101" t="s">
        <v>105</v>
      </c>
      <c r="D4" s="9"/>
      <c r="E4" s="70"/>
    </row>
    <row r="5" spans="1:5" ht="13.5" customHeight="1" x14ac:dyDescent="0.2">
      <c r="A5" s="121" t="s">
        <v>75</v>
      </c>
      <c r="B5" s="73"/>
      <c r="C5" s="23" t="str">
        <f>"["&amp;_xlfn.TEXTJOIN(" ",TRUE,HardpointsRr!B19/1000+ 1.575,HardpointsRr!C19/1000,HardpointsRr!D19/1000)&amp;"]"</f>
        <v>[-0.027577 0.286348 0.447044]</v>
      </c>
      <c r="D5" s="129" t="s">
        <v>12</v>
      </c>
      <c r="E5" s="65" t="s">
        <v>47</v>
      </c>
    </row>
    <row r="6" spans="1:5" ht="13.5" customHeight="1" x14ac:dyDescent="0.2">
      <c r="A6" s="122" t="s">
        <v>60</v>
      </c>
      <c r="B6" s="74"/>
      <c r="C6" s="24" t="str">
        <f>"["&amp;_xlfn.TEXTJOIN(" ",TRUE,HardpointsRr!B17/1000+ 1.575,HardpointsRr!C17/1000,HardpointsRr!D17/1000)&amp;"]"</f>
        <v>[-0.255 0.305 0.44435]</v>
      </c>
      <c r="D6" s="41" t="s">
        <v>12</v>
      </c>
      <c r="E6" s="54" t="s">
        <v>47</v>
      </c>
    </row>
    <row r="7" spans="1:5" ht="13.5" customHeight="1" x14ac:dyDescent="0.2">
      <c r="A7" s="122" t="s">
        <v>49</v>
      </c>
      <c r="B7" s="74"/>
      <c r="C7" s="24" t="str">
        <f>"["&amp;_xlfn.TEXTJOIN(" ",TRUE,HardpointsRr!B18/1000 + 1.575,HardpointsRr!C18/1000,HardpointsRr!D18/1000)&amp;"]"</f>
        <v>[-0.255 0.305 0.38635]</v>
      </c>
      <c r="D7" s="41" t="s">
        <v>12</v>
      </c>
      <c r="E7" s="58" t="s">
        <v>47</v>
      </c>
    </row>
    <row r="8" spans="1:5" ht="13.5" customHeight="1" x14ac:dyDescent="0.2">
      <c r="A8" s="122" t="s">
        <v>76</v>
      </c>
      <c r="B8" s="74"/>
      <c r="C8" s="136">
        <f>1.979*2</f>
        <v>3.9580000000000002</v>
      </c>
      <c r="D8" s="85" t="s">
        <v>77</v>
      </c>
      <c r="E8" s="71"/>
    </row>
    <row r="9" spans="1:5" ht="13.5" customHeight="1" thickBot="1" x14ac:dyDescent="0.25">
      <c r="A9" s="123" t="s">
        <v>12</v>
      </c>
      <c r="B9" s="77"/>
      <c r="C9" s="20">
        <v>0.7</v>
      </c>
      <c r="D9" s="43" t="s">
        <v>30</v>
      </c>
      <c r="E9" s="7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zoomScale="163" zoomScaleNormal="90" workbookViewId="0">
      <selection activeCell="D20" sqref="D20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106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107</v>
      </c>
      <c r="D4" s="9"/>
      <c r="E4" s="10"/>
    </row>
    <row r="5" spans="1:5" ht="13.5" customHeight="1" thickBot="1" x14ac:dyDescent="0.25">
      <c r="A5" s="119" t="s">
        <v>108</v>
      </c>
      <c r="B5" s="73"/>
      <c r="C5" s="23">
        <v>-2.48</v>
      </c>
      <c r="D5" s="12"/>
      <c r="E5" s="28"/>
    </row>
    <row r="6" spans="1:5" ht="13.5" customHeight="1" thickBot="1" x14ac:dyDescent="0.25">
      <c r="A6" s="119" t="s">
        <v>109</v>
      </c>
      <c r="B6" s="74"/>
      <c r="C6" s="24">
        <v>1.08</v>
      </c>
      <c r="D6" s="15"/>
      <c r="E6" s="18"/>
    </row>
    <row r="7" spans="1:5" ht="13.5" customHeight="1" thickBot="1" x14ac:dyDescent="0.25">
      <c r="A7" s="119" t="s">
        <v>110</v>
      </c>
      <c r="B7" s="74"/>
      <c r="C7" s="24">
        <v>1.2250000000000001</v>
      </c>
      <c r="D7" s="15" t="s">
        <v>111</v>
      </c>
      <c r="E7" s="18"/>
    </row>
    <row r="8" spans="1:5" ht="13.5" customHeight="1" thickBot="1" x14ac:dyDescent="0.25">
      <c r="A8" s="119" t="s">
        <v>112</v>
      </c>
      <c r="B8" s="74"/>
      <c r="C8" s="24">
        <v>1.2</v>
      </c>
      <c r="D8" s="15" t="s">
        <v>113</v>
      </c>
      <c r="E8" s="18"/>
    </row>
    <row r="9" spans="1:5" ht="13.5" customHeight="1" thickBot="1" x14ac:dyDescent="0.25">
      <c r="A9" s="119" t="s">
        <v>114</v>
      </c>
      <c r="B9" s="77"/>
      <c r="C9" s="137" t="s">
        <v>115</v>
      </c>
      <c r="D9" s="21" t="s">
        <v>30</v>
      </c>
      <c r="E9" s="2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zoomScale="99" workbookViewId="0">
      <selection activeCell="D18" sqref="D18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116</v>
      </c>
      <c r="D2" s="9"/>
      <c r="E2" s="10"/>
    </row>
    <row r="3" spans="1:5" ht="14" customHeight="1" x14ac:dyDescent="0.2">
      <c r="A3" s="6" t="s">
        <v>6</v>
      </c>
      <c r="B3" s="7"/>
      <c r="C3" s="8" t="s">
        <v>117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117</v>
      </c>
      <c r="D4" s="9"/>
      <c r="E4" s="10"/>
    </row>
    <row r="5" spans="1:5" ht="14" customHeight="1" x14ac:dyDescent="0.2">
      <c r="A5" s="144" t="s">
        <v>118</v>
      </c>
      <c r="B5" s="73" t="s">
        <v>8</v>
      </c>
      <c r="C5" s="76" t="s">
        <v>119</v>
      </c>
      <c r="D5" s="12"/>
      <c r="E5" s="28"/>
    </row>
    <row r="6" spans="1:5" ht="13.5" customHeight="1" x14ac:dyDescent="0.2">
      <c r="A6" s="157"/>
      <c r="B6" s="93" t="s">
        <v>120</v>
      </c>
      <c r="C6" s="94">
        <v>78807.070000000007</v>
      </c>
      <c r="D6" s="95" t="s">
        <v>121</v>
      </c>
      <c r="E6" s="96"/>
    </row>
    <row r="7" spans="1:5" ht="13.5" customHeight="1" thickBot="1" x14ac:dyDescent="0.25">
      <c r="A7" s="145"/>
      <c r="B7" s="77" t="s">
        <v>122</v>
      </c>
      <c r="C7" s="20">
        <v>8.0000000000000002E-3</v>
      </c>
      <c r="D7" s="21" t="s">
        <v>12</v>
      </c>
      <c r="E7" s="29"/>
    </row>
    <row r="8" spans="1:5" ht="13.5" customHeight="1" x14ac:dyDescent="0.2">
      <c r="A8" s="144" t="s">
        <v>123</v>
      </c>
      <c r="B8" s="73" t="s">
        <v>8</v>
      </c>
      <c r="C8" s="98" t="s">
        <v>119</v>
      </c>
      <c r="D8" s="12"/>
      <c r="E8" s="28"/>
    </row>
    <row r="9" spans="1:5" ht="13.5" customHeight="1" x14ac:dyDescent="0.2">
      <c r="A9" s="157"/>
      <c r="B9" s="93" t="s">
        <v>120</v>
      </c>
      <c r="C9" s="97">
        <v>56916.22</v>
      </c>
      <c r="D9" s="95" t="s">
        <v>121</v>
      </c>
      <c r="E9" s="96"/>
    </row>
    <row r="10" spans="1:5" ht="13.5" customHeight="1" thickBot="1" x14ac:dyDescent="0.25">
      <c r="A10" s="145"/>
      <c r="B10" s="77" t="s">
        <v>122</v>
      </c>
      <c r="C10" s="20">
        <v>8.0000000000000002E-3</v>
      </c>
      <c r="D10" s="86" t="s">
        <v>12</v>
      </c>
      <c r="E10" s="29"/>
    </row>
  </sheetData>
  <mergeCells count="2">
    <mergeCell ref="A5:A7"/>
    <mergeCell ref="A8:A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showGridLines="0" topLeftCell="A4" zoomScale="156" workbookViewId="0">
      <selection activeCell="E13" sqref="E13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101" t="s">
        <v>124</v>
      </c>
      <c r="D2" s="9"/>
      <c r="E2" s="10"/>
    </row>
    <row r="3" spans="1:5" ht="14" customHeight="1" x14ac:dyDescent="0.2">
      <c r="A3" s="6" t="s">
        <v>6</v>
      </c>
      <c r="B3" s="7"/>
      <c r="C3" s="8" t="s">
        <v>117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117</v>
      </c>
      <c r="D4" s="9"/>
      <c r="E4" s="10"/>
    </row>
    <row r="5" spans="1:5" ht="14" customHeight="1" x14ac:dyDescent="0.2">
      <c r="A5" s="144" t="s">
        <v>118</v>
      </c>
      <c r="B5" s="73" t="s">
        <v>8</v>
      </c>
      <c r="C5" s="76" t="s">
        <v>125</v>
      </c>
      <c r="D5" s="12"/>
      <c r="E5" s="28"/>
    </row>
    <row r="6" spans="1:5" ht="13.5" customHeight="1" x14ac:dyDescent="0.2">
      <c r="A6" s="157"/>
      <c r="B6" s="93" t="s">
        <v>126</v>
      </c>
      <c r="C6" s="130" t="s">
        <v>126</v>
      </c>
      <c r="D6" s="95" t="s">
        <v>121</v>
      </c>
      <c r="E6" s="131" t="s">
        <v>127</v>
      </c>
    </row>
    <row r="7" spans="1:5" ht="13.5" customHeight="1" x14ac:dyDescent="0.2">
      <c r="A7" s="157"/>
      <c r="B7" s="74" t="s">
        <v>128</v>
      </c>
      <c r="C7" s="24">
        <v>100000</v>
      </c>
      <c r="D7" s="85" t="s">
        <v>121</v>
      </c>
      <c r="E7" s="18"/>
    </row>
    <row r="8" spans="1:5" ht="13.5" customHeight="1" x14ac:dyDescent="0.2">
      <c r="A8" s="157"/>
      <c r="B8" s="74" t="s">
        <v>129</v>
      </c>
      <c r="C8" s="24">
        <v>100000</v>
      </c>
      <c r="D8" s="85" t="s">
        <v>121</v>
      </c>
      <c r="E8" s="18"/>
    </row>
    <row r="9" spans="1:5" ht="13.5" customHeight="1" x14ac:dyDescent="0.2">
      <c r="A9" s="157"/>
      <c r="B9" s="74" t="s">
        <v>130</v>
      </c>
      <c r="C9" s="24">
        <v>150</v>
      </c>
      <c r="D9" s="85" t="s">
        <v>121</v>
      </c>
      <c r="E9" s="18"/>
    </row>
    <row r="10" spans="1:5" ht="13.5" customHeight="1" x14ac:dyDescent="0.2">
      <c r="A10" s="157"/>
      <c r="B10" s="74" t="s">
        <v>131</v>
      </c>
      <c r="C10" s="24">
        <v>150</v>
      </c>
      <c r="D10" s="85" t="s">
        <v>121</v>
      </c>
      <c r="E10" s="18"/>
    </row>
    <row r="11" spans="1:5" ht="13.5" customHeight="1" thickBot="1" x14ac:dyDescent="0.25">
      <c r="A11" s="145"/>
      <c r="B11" s="77" t="s">
        <v>132</v>
      </c>
      <c r="C11" s="26">
        <v>1E-4</v>
      </c>
      <c r="D11" s="86" t="s">
        <v>12</v>
      </c>
      <c r="E11" s="29"/>
    </row>
    <row r="12" spans="1:5" ht="13.5" customHeight="1" x14ac:dyDescent="0.2">
      <c r="A12" s="144" t="s">
        <v>123</v>
      </c>
      <c r="B12" s="73" t="s">
        <v>8</v>
      </c>
      <c r="C12" s="76" t="s">
        <v>125</v>
      </c>
      <c r="D12" s="12"/>
      <c r="E12" s="28"/>
    </row>
    <row r="13" spans="1:5" ht="13.5" customHeight="1" x14ac:dyDescent="0.2">
      <c r="A13" s="157"/>
      <c r="B13" s="93" t="s">
        <v>126</v>
      </c>
      <c r="C13" s="130" t="s">
        <v>126</v>
      </c>
      <c r="D13" s="100" t="s">
        <v>121</v>
      </c>
      <c r="E13" s="131" t="s">
        <v>127</v>
      </c>
    </row>
    <row r="14" spans="1:5" ht="13.5" customHeight="1" x14ac:dyDescent="0.2">
      <c r="A14" s="157"/>
      <c r="B14" s="74" t="s">
        <v>128</v>
      </c>
      <c r="C14" s="24">
        <v>100000</v>
      </c>
      <c r="D14" s="100" t="s">
        <v>121</v>
      </c>
      <c r="E14" s="18"/>
    </row>
    <row r="15" spans="1:5" ht="13.5" customHeight="1" x14ac:dyDescent="0.2">
      <c r="A15" s="157"/>
      <c r="B15" s="74" t="s">
        <v>129</v>
      </c>
      <c r="C15" s="24">
        <v>100000</v>
      </c>
      <c r="D15" s="100" t="s">
        <v>121</v>
      </c>
      <c r="E15" s="18"/>
    </row>
    <row r="16" spans="1:5" ht="13.5" customHeight="1" x14ac:dyDescent="0.2">
      <c r="A16" s="157"/>
      <c r="B16" s="74" t="s">
        <v>130</v>
      </c>
      <c r="C16" s="24">
        <v>150</v>
      </c>
      <c r="D16" s="100" t="s">
        <v>121</v>
      </c>
      <c r="E16" s="18"/>
    </row>
    <row r="17" spans="1:5" ht="13.5" customHeight="1" x14ac:dyDescent="0.2">
      <c r="A17" s="157"/>
      <c r="B17" s="74" t="s">
        <v>131</v>
      </c>
      <c r="C17" s="24">
        <v>150</v>
      </c>
      <c r="D17" s="100" t="s">
        <v>121</v>
      </c>
      <c r="E17" s="18"/>
    </row>
    <row r="18" spans="1:5" ht="13.5" customHeight="1" thickBot="1" x14ac:dyDescent="0.25">
      <c r="A18" s="145"/>
      <c r="B18" s="77" t="s">
        <v>132</v>
      </c>
      <c r="C18" s="26">
        <v>1E-4</v>
      </c>
      <c r="D18" s="86" t="s">
        <v>12</v>
      </c>
      <c r="E18" s="29"/>
    </row>
  </sheetData>
  <mergeCells count="2">
    <mergeCell ref="A5:A11"/>
    <mergeCell ref="A12:A1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A3BA-06BE-A64D-A72B-9CFCF024C1FD}">
  <dimension ref="A1:B101"/>
  <sheetViews>
    <sheetView zoomScaleNormal="100" workbookViewId="0">
      <selection activeCell="C1" sqref="C1"/>
    </sheetView>
  </sheetViews>
  <sheetFormatPr baseColWidth="10" defaultColWidth="11.5" defaultRowHeight="15" x14ac:dyDescent="0.2"/>
  <sheetData>
    <row r="1" spans="1:2" x14ac:dyDescent="0.2">
      <c r="A1" s="132">
        <v>-443.53</v>
      </c>
      <c r="B1" s="132">
        <v>-3883.5949999999998</v>
      </c>
    </row>
    <row r="2" spans="1:2" x14ac:dyDescent="0.2">
      <c r="A2" s="132">
        <v>-433.58</v>
      </c>
      <c r="B2" s="132">
        <v>-3833.1889999999999</v>
      </c>
    </row>
    <row r="3" spans="1:2" x14ac:dyDescent="0.2">
      <c r="A3" s="132">
        <v>-423.97</v>
      </c>
      <c r="B3" s="132">
        <v>-3778.5659999999998</v>
      </c>
    </row>
    <row r="4" spans="1:2" x14ac:dyDescent="0.2">
      <c r="A4" s="132">
        <v>-415</v>
      </c>
      <c r="B4" s="132">
        <v>-3715.607</v>
      </c>
    </row>
    <row r="5" spans="1:2" x14ac:dyDescent="0.2">
      <c r="A5" s="132">
        <v>-406.67</v>
      </c>
      <c r="B5" s="132">
        <v>-3644.3130000000001</v>
      </c>
    </row>
    <row r="6" spans="1:2" x14ac:dyDescent="0.2">
      <c r="A6" s="132">
        <v>-398.79</v>
      </c>
      <c r="B6" s="132">
        <v>-3567.2330000000002</v>
      </c>
    </row>
    <row r="7" spans="1:2" x14ac:dyDescent="0.2">
      <c r="A7" s="132">
        <v>-391.16</v>
      </c>
      <c r="B7" s="132">
        <v>-3486.6219999999998</v>
      </c>
    </row>
    <row r="8" spans="1:2" x14ac:dyDescent="0.2">
      <c r="A8" s="132">
        <v>-383.59</v>
      </c>
      <c r="B8" s="132">
        <v>-3405.2269999999999</v>
      </c>
    </row>
    <row r="9" spans="1:2" x14ac:dyDescent="0.2">
      <c r="A9" s="132">
        <v>-375.88</v>
      </c>
      <c r="B9" s="132">
        <v>-3325.3029999999999</v>
      </c>
    </row>
    <row r="10" spans="1:2" x14ac:dyDescent="0.2">
      <c r="A10" s="132">
        <v>-367.89</v>
      </c>
      <c r="B10" s="132">
        <v>-3248.7130000000002</v>
      </c>
    </row>
    <row r="11" spans="1:2" x14ac:dyDescent="0.2">
      <c r="A11" s="132">
        <v>-359.64</v>
      </c>
      <c r="B11" s="132">
        <v>-3175.3589999999999</v>
      </c>
    </row>
    <row r="12" spans="1:2" x14ac:dyDescent="0.2">
      <c r="A12" s="132">
        <v>-351.2</v>
      </c>
      <c r="B12" s="132">
        <v>-3104.163</v>
      </c>
    </row>
    <row r="13" spans="1:2" x14ac:dyDescent="0.2">
      <c r="A13" s="132">
        <v>-342.63</v>
      </c>
      <c r="B13" s="132">
        <v>-3034.5360000000001</v>
      </c>
    </row>
    <row r="14" spans="1:2" x14ac:dyDescent="0.2">
      <c r="A14" s="132">
        <v>-334</v>
      </c>
      <c r="B14" s="132">
        <v>-2965.6930000000002</v>
      </c>
    </row>
    <row r="15" spans="1:2" x14ac:dyDescent="0.2">
      <c r="A15" s="132">
        <v>-325.38</v>
      </c>
      <c r="B15" s="132">
        <v>-2896.85</v>
      </c>
    </row>
    <row r="16" spans="1:2" x14ac:dyDescent="0.2">
      <c r="A16" s="132">
        <v>-316.77</v>
      </c>
      <c r="B16" s="132">
        <v>-2827.6149999999998</v>
      </c>
    </row>
    <row r="17" spans="1:2" x14ac:dyDescent="0.2">
      <c r="A17" s="132">
        <v>-308.2</v>
      </c>
      <c r="B17" s="132">
        <v>-2757.9879999999998</v>
      </c>
    </row>
    <row r="18" spans="1:2" x14ac:dyDescent="0.2">
      <c r="A18" s="132">
        <v>-299.64999999999998</v>
      </c>
      <c r="B18" s="132">
        <v>-2687.9690000000001</v>
      </c>
    </row>
    <row r="19" spans="1:2" x14ac:dyDescent="0.2">
      <c r="A19" s="132">
        <v>-291.14</v>
      </c>
      <c r="B19" s="132">
        <v>-2617.5569999999998</v>
      </c>
    </row>
    <row r="20" spans="1:2" x14ac:dyDescent="0.2">
      <c r="A20" s="132">
        <v>-282.67</v>
      </c>
      <c r="B20" s="132">
        <v>-2546.6550000000002</v>
      </c>
    </row>
    <row r="21" spans="1:2" x14ac:dyDescent="0.2">
      <c r="A21" s="132">
        <v>-274.25</v>
      </c>
      <c r="B21" s="132">
        <v>-2475.1640000000002</v>
      </c>
    </row>
    <row r="22" spans="1:2" x14ac:dyDescent="0.2">
      <c r="A22" s="132">
        <v>-265.91000000000003</v>
      </c>
      <c r="B22" s="132">
        <v>-2402.7910000000002</v>
      </c>
    </row>
    <row r="23" spans="1:2" x14ac:dyDescent="0.2">
      <c r="A23" s="132">
        <v>-257.67</v>
      </c>
      <c r="B23" s="132">
        <v>-2329.3389999999999</v>
      </c>
    </row>
    <row r="24" spans="1:2" x14ac:dyDescent="0.2">
      <c r="A24" s="132">
        <v>-249.56</v>
      </c>
      <c r="B24" s="132">
        <v>-2254.5149999999999</v>
      </c>
    </row>
    <row r="25" spans="1:2" x14ac:dyDescent="0.2">
      <c r="A25" s="132">
        <v>-241.62</v>
      </c>
      <c r="B25" s="132">
        <v>-2178.2190000000001</v>
      </c>
    </row>
    <row r="26" spans="1:2" x14ac:dyDescent="0.2">
      <c r="A26" s="132">
        <v>-233.85</v>
      </c>
      <c r="B26" s="132">
        <v>-2100.06</v>
      </c>
    </row>
    <row r="27" spans="1:2" x14ac:dyDescent="0.2">
      <c r="A27" s="132">
        <v>-226.23</v>
      </c>
      <c r="B27" s="132">
        <v>-2020.528</v>
      </c>
    </row>
    <row r="28" spans="1:2" x14ac:dyDescent="0.2">
      <c r="A28" s="132">
        <v>-218.75</v>
      </c>
      <c r="B28" s="132">
        <v>-1939.623</v>
      </c>
    </row>
    <row r="29" spans="1:2" x14ac:dyDescent="0.2">
      <c r="A29" s="132">
        <v>-211.37</v>
      </c>
      <c r="B29" s="132">
        <v>-1857.934</v>
      </c>
    </row>
    <row r="30" spans="1:2" x14ac:dyDescent="0.2">
      <c r="A30" s="132">
        <v>-204.05</v>
      </c>
      <c r="B30" s="132">
        <v>-1775.46</v>
      </c>
    </row>
    <row r="31" spans="1:2" x14ac:dyDescent="0.2">
      <c r="A31" s="132">
        <v>-196.78</v>
      </c>
      <c r="B31" s="132">
        <v>-1692.79</v>
      </c>
    </row>
    <row r="32" spans="1:2" x14ac:dyDescent="0.2">
      <c r="A32" s="132">
        <v>-189.52</v>
      </c>
      <c r="B32" s="132">
        <v>-1609.923</v>
      </c>
    </row>
    <row r="33" spans="1:2" x14ac:dyDescent="0.2">
      <c r="A33" s="132">
        <v>-182.26</v>
      </c>
      <c r="B33" s="132">
        <v>-1527.155</v>
      </c>
    </row>
    <row r="34" spans="1:2" x14ac:dyDescent="0.2">
      <c r="A34" s="132">
        <v>-174.97</v>
      </c>
      <c r="B34" s="132">
        <v>-1444.681</v>
      </c>
    </row>
    <row r="35" spans="1:2" x14ac:dyDescent="0.2">
      <c r="A35" s="132">
        <v>-167.65</v>
      </c>
      <c r="B35" s="132">
        <v>-1362.502</v>
      </c>
    </row>
    <row r="36" spans="1:2" x14ac:dyDescent="0.2">
      <c r="A36" s="132">
        <v>-160.27000000000001</v>
      </c>
      <c r="B36" s="132">
        <v>-1280.8119999999999</v>
      </c>
    </row>
    <row r="37" spans="1:2" x14ac:dyDescent="0.2">
      <c r="A37" s="132">
        <v>-152.82</v>
      </c>
      <c r="B37" s="132">
        <v>-1199.711</v>
      </c>
    </row>
    <row r="38" spans="1:2" x14ac:dyDescent="0.2">
      <c r="A38" s="132">
        <v>-145.29</v>
      </c>
      <c r="B38" s="132">
        <v>-1119.297</v>
      </c>
    </row>
    <row r="39" spans="1:2" x14ac:dyDescent="0.2">
      <c r="A39" s="132">
        <v>-137.65</v>
      </c>
      <c r="B39" s="132">
        <v>-1039.7650000000001</v>
      </c>
    </row>
    <row r="40" spans="1:2" x14ac:dyDescent="0.2">
      <c r="A40" s="132">
        <v>-129.9</v>
      </c>
      <c r="B40" s="132">
        <v>-961.31200000000001</v>
      </c>
    </row>
    <row r="41" spans="1:2" x14ac:dyDescent="0.2">
      <c r="A41" s="132">
        <v>-122.02</v>
      </c>
      <c r="B41" s="132">
        <v>-884.13300000000004</v>
      </c>
    </row>
    <row r="42" spans="1:2" x14ac:dyDescent="0.2">
      <c r="A42" s="132">
        <v>-114.01</v>
      </c>
      <c r="B42" s="132">
        <v>-808.32799999999997</v>
      </c>
    </row>
    <row r="43" spans="1:2" x14ac:dyDescent="0.2">
      <c r="A43" s="132">
        <v>-105.84</v>
      </c>
      <c r="B43" s="132">
        <v>-734.19</v>
      </c>
    </row>
    <row r="44" spans="1:2" x14ac:dyDescent="0.2">
      <c r="A44" s="132">
        <v>-97.52</v>
      </c>
      <c r="B44" s="132">
        <v>-661.71799999999996</v>
      </c>
    </row>
    <row r="45" spans="1:2" x14ac:dyDescent="0.2">
      <c r="A45" s="132">
        <v>-89.05</v>
      </c>
      <c r="B45" s="132">
        <v>-590.91399999999999</v>
      </c>
    </row>
    <row r="46" spans="1:2" x14ac:dyDescent="0.2">
      <c r="A46" s="132">
        <v>-80.430000000000007</v>
      </c>
      <c r="B46" s="132">
        <v>-521.67999999999995</v>
      </c>
    </row>
    <row r="47" spans="1:2" x14ac:dyDescent="0.2">
      <c r="A47" s="132">
        <v>-71.680000000000007</v>
      </c>
      <c r="B47" s="132">
        <v>-454.21</v>
      </c>
    </row>
    <row r="48" spans="1:2" x14ac:dyDescent="0.2">
      <c r="A48" s="132">
        <v>-62.8</v>
      </c>
      <c r="B48" s="132">
        <v>-388.113</v>
      </c>
    </row>
    <row r="49" spans="1:2" x14ac:dyDescent="0.2">
      <c r="A49" s="132">
        <v>-53.8</v>
      </c>
      <c r="B49" s="132">
        <v>-323.68299999999999</v>
      </c>
    </row>
    <row r="50" spans="1:2" x14ac:dyDescent="0.2">
      <c r="A50" s="132">
        <v>-44.68</v>
      </c>
      <c r="B50" s="132">
        <v>-260.92099999999999</v>
      </c>
    </row>
    <row r="51" spans="1:2" x14ac:dyDescent="0.2">
      <c r="A51" s="132">
        <v>-35.409999999999997</v>
      </c>
      <c r="B51" s="132">
        <v>-200.41399999999999</v>
      </c>
    </row>
    <row r="52" spans="1:2" x14ac:dyDescent="0.2">
      <c r="A52" s="132">
        <v>-25.99</v>
      </c>
      <c r="B52" s="132">
        <v>-142.26</v>
      </c>
    </row>
    <row r="53" spans="1:2" x14ac:dyDescent="0.2">
      <c r="A53" s="132">
        <v>-16.38</v>
      </c>
      <c r="B53" s="132">
        <v>-86.950999999999993</v>
      </c>
    </row>
    <row r="54" spans="1:2" x14ac:dyDescent="0.2">
      <c r="A54" s="132">
        <v>-6.61</v>
      </c>
      <c r="B54" s="132">
        <v>-34.387</v>
      </c>
    </row>
    <row r="55" spans="1:2" x14ac:dyDescent="0.2">
      <c r="A55" s="132">
        <v>0</v>
      </c>
      <c r="B55" s="132">
        <v>0</v>
      </c>
    </row>
    <row r="56" spans="1:2" x14ac:dyDescent="0.2">
      <c r="A56" s="132">
        <v>3.23</v>
      </c>
      <c r="B56" s="132">
        <v>16.803999999999998</v>
      </c>
    </row>
    <row r="57" spans="1:2" x14ac:dyDescent="0.2">
      <c r="A57" s="132">
        <v>13.04</v>
      </c>
      <c r="B57" s="132">
        <v>68.484999999999999</v>
      </c>
    </row>
    <row r="58" spans="1:2" x14ac:dyDescent="0.2">
      <c r="A58" s="132">
        <v>22.71</v>
      </c>
      <c r="B58" s="132">
        <v>122.42100000000001</v>
      </c>
    </row>
    <row r="59" spans="1:2" x14ac:dyDescent="0.2">
      <c r="A59" s="132">
        <v>32.119999999999997</v>
      </c>
      <c r="B59" s="132">
        <v>180.18199999999999</v>
      </c>
    </row>
    <row r="60" spans="1:2" x14ac:dyDescent="0.2">
      <c r="A60" s="132">
        <v>41.25</v>
      </c>
      <c r="B60" s="132">
        <v>242.25899999999999</v>
      </c>
    </row>
    <row r="61" spans="1:2" x14ac:dyDescent="0.2">
      <c r="A61" s="132">
        <v>50.17</v>
      </c>
      <c r="B61" s="132">
        <v>307.66899999999998</v>
      </c>
    </row>
    <row r="62" spans="1:2" x14ac:dyDescent="0.2">
      <c r="A62" s="132">
        <v>58.93</v>
      </c>
      <c r="B62" s="132">
        <v>375.33499999999998</v>
      </c>
    </row>
    <row r="63" spans="1:2" x14ac:dyDescent="0.2">
      <c r="A63" s="132">
        <v>67.61</v>
      </c>
      <c r="B63" s="132">
        <v>444.07900000000001</v>
      </c>
    </row>
    <row r="64" spans="1:2" x14ac:dyDescent="0.2">
      <c r="A64" s="132">
        <v>76.28</v>
      </c>
      <c r="B64" s="132">
        <v>512.92200000000003</v>
      </c>
    </row>
    <row r="65" spans="1:2" x14ac:dyDescent="0.2">
      <c r="A65" s="132">
        <v>84.97</v>
      </c>
      <c r="B65" s="132">
        <v>581.274</v>
      </c>
    </row>
    <row r="66" spans="1:2" x14ac:dyDescent="0.2">
      <c r="A66" s="132">
        <v>93.66</v>
      </c>
      <c r="B66" s="132">
        <v>649.33299999999997</v>
      </c>
    </row>
    <row r="67" spans="1:2" x14ac:dyDescent="0.2">
      <c r="A67" s="132">
        <v>102.34</v>
      </c>
      <c r="B67" s="132">
        <v>717.58699999999999</v>
      </c>
    </row>
    <row r="68" spans="1:2" x14ac:dyDescent="0.2">
      <c r="A68" s="132">
        <v>110.99</v>
      </c>
      <c r="B68" s="132">
        <v>786.23299999999995</v>
      </c>
    </row>
    <row r="69" spans="1:2" x14ac:dyDescent="0.2">
      <c r="A69" s="132">
        <v>119.59</v>
      </c>
      <c r="B69" s="132">
        <v>855.66399999999999</v>
      </c>
    </row>
    <row r="70" spans="1:2" x14ac:dyDescent="0.2">
      <c r="A70" s="132">
        <v>128.15</v>
      </c>
      <c r="B70" s="132">
        <v>925.68399999999997</v>
      </c>
    </row>
    <row r="71" spans="1:2" x14ac:dyDescent="0.2">
      <c r="A71" s="132">
        <v>136.76</v>
      </c>
      <c r="B71" s="132">
        <v>995.11500000000001</v>
      </c>
    </row>
    <row r="72" spans="1:2" x14ac:dyDescent="0.2">
      <c r="A72" s="132">
        <v>145.5</v>
      </c>
      <c r="B72" s="132">
        <v>1062.8789999999999</v>
      </c>
    </row>
    <row r="73" spans="1:2" x14ac:dyDescent="0.2">
      <c r="A73" s="132">
        <v>154.46</v>
      </c>
      <c r="B73" s="132">
        <v>1127.6030000000001</v>
      </c>
    </row>
    <row r="74" spans="1:2" x14ac:dyDescent="0.2">
      <c r="A74" s="132">
        <v>163.72</v>
      </c>
      <c r="B74" s="132">
        <v>1188.1099999999999</v>
      </c>
    </row>
    <row r="75" spans="1:2" x14ac:dyDescent="0.2">
      <c r="A75" s="132">
        <v>173.35</v>
      </c>
      <c r="B75" s="132">
        <v>1243.3209999999999</v>
      </c>
    </row>
    <row r="76" spans="1:2" x14ac:dyDescent="0.2">
      <c r="A76" s="132">
        <v>183.3</v>
      </c>
      <c r="B76" s="132">
        <v>1293.0409999999999</v>
      </c>
    </row>
    <row r="77" spans="1:2" x14ac:dyDescent="0.2">
      <c r="A77" s="132">
        <v>193.53</v>
      </c>
      <c r="B77" s="132">
        <v>1336.877</v>
      </c>
    </row>
    <row r="78" spans="1:2" x14ac:dyDescent="0.2">
      <c r="A78" s="132">
        <v>204</v>
      </c>
      <c r="B78" s="132">
        <v>1374.829</v>
      </c>
    </row>
    <row r="79" spans="1:2" x14ac:dyDescent="0.2">
      <c r="A79" s="132">
        <v>214.66</v>
      </c>
      <c r="B79" s="132">
        <v>1406.7</v>
      </c>
    </row>
    <row r="80" spans="1:2" x14ac:dyDescent="0.2">
      <c r="A80" s="132">
        <v>225.46</v>
      </c>
      <c r="B80" s="132">
        <v>1433.2760000000001</v>
      </c>
    </row>
    <row r="81" spans="1:2" x14ac:dyDescent="0.2">
      <c r="A81" s="132">
        <v>236.35</v>
      </c>
      <c r="B81" s="132">
        <v>1455.93</v>
      </c>
    </row>
    <row r="82" spans="1:2" x14ac:dyDescent="0.2">
      <c r="A82" s="132">
        <v>247.31</v>
      </c>
      <c r="B82" s="132">
        <v>1476.0329999999999</v>
      </c>
    </row>
    <row r="83" spans="1:2" x14ac:dyDescent="0.2">
      <c r="A83" s="132">
        <v>258.27999999999997</v>
      </c>
      <c r="B83" s="132">
        <v>1494.8620000000001</v>
      </c>
    </row>
    <row r="84" spans="1:2" x14ac:dyDescent="0.2">
      <c r="A84" s="132">
        <v>269.26</v>
      </c>
      <c r="B84" s="132">
        <v>1513.396</v>
      </c>
    </row>
    <row r="85" spans="1:2" x14ac:dyDescent="0.2">
      <c r="A85" s="132">
        <v>280.23</v>
      </c>
      <c r="B85" s="132">
        <v>1531.8330000000001</v>
      </c>
    </row>
    <row r="86" spans="1:2" x14ac:dyDescent="0.2">
      <c r="A86" s="132">
        <v>291.19</v>
      </c>
      <c r="B86" s="132">
        <v>1550.3679999999999</v>
      </c>
    </row>
    <row r="87" spans="1:2" x14ac:dyDescent="0.2">
      <c r="A87" s="132">
        <v>302.14999999999998</v>
      </c>
      <c r="B87" s="132">
        <v>1569.2940000000001</v>
      </c>
    </row>
    <row r="88" spans="1:2" x14ac:dyDescent="0.2">
      <c r="A88" s="132">
        <v>313.10000000000002</v>
      </c>
      <c r="B88" s="132">
        <v>1588.712</v>
      </c>
    </row>
    <row r="89" spans="1:2" x14ac:dyDescent="0.2">
      <c r="A89" s="132">
        <v>324.05</v>
      </c>
      <c r="B89" s="132">
        <v>1608.325</v>
      </c>
    </row>
    <row r="90" spans="1:2" x14ac:dyDescent="0.2">
      <c r="A90" s="132">
        <v>335.01</v>
      </c>
      <c r="B90" s="132">
        <v>1627.9380000000001</v>
      </c>
    </row>
    <row r="91" spans="1:2" x14ac:dyDescent="0.2">
      <c r="A91" s="132">
        <v>345.96</v>
      </c>
      <c r="B91" s="132">
        <v>1647.2570000000001</v>
      </c>
    </row>
    <row r="92" spans="1:2" x14ac:dyDescent="0.2">
      <c r="A92" s="132">
        <v>356.92</v>
      </c>
      <c r="B92" s="132">
        <v>1666.2819999999999</v>
      </c>
    </row>
    <row r="93" spans="1:2" x14ac:dyDescent="0.2">
      <c r="A93" s="132">
        <v>367.88</v>
      </c>
      <c r="B93" s="132">
        <v>1685.6010000000001</v>
      </c>
    </row>
    <row r="94" spans="1:2" x14ac:dyDescent="0.2">
      <c r="A94" s="132">
        <v>378.83</v>
      </c>
      <c r="B94" s="132">
        <v>1705.4110000000001</v>
      </c>
    </row>
    <row r="95" spans="1:2" x14ac:dyDescent="0.2">
      <c r="A95" s="132">
        <v>389.75</v>
      </c>
      <c r="B95" s="132">
        <v>1726.3969999999999</v>
      </c>
    </row>
    <row r="96" spans="1:2" x14ac:dyDescent="0.2">
      <c r="A96" s="132">
        <v>400.65</v>
      </c>
      <c r="B96" s="132">
        <v>1748.6579999999999</v>
      </c>
    </row>
    <row r="97" spans="1:2" x14ac:dyDescent="0.2">
      <c r="A97" s="132">
        <v>411.52</v>
      </c>
      <c r="B97" s="132">
        <v>1772.39</v>
      </c>
    </row>
    <row r="98" spans="1:2" x14ac:dyDescent="0.2">
      <c r="A98" s="132">
        <v>422.35</v>
      </c>
      <c r="B98" s="132">
        <v>1797.4949999999999</v>
      </c>
    </row>
    <row r="99" spans="1:2" x14ac:dyDescent="0.2">
      <c r="A99" s="132">
        <v>433.15</v>
      </c>
      <c r="B99" s="132">
        <v>1823.973</v>
      </c>
    </row>
    <row r="100" spans="1:2" x14ac:dyDescent="0.2">
      <c r="A100" s="132">
        <v>443.91</v>
      </c>
      <c r="B100" s="132">
        <v>1851.8240000000001</v>
      </c>
    </row>
    <row r="101" spans="1:2" x14ac:dyDescent="0.2">
      <c r="A101" s="132">
        <v>454.66</v>
      </c>
      <c r="B101" s="132">
        <v>1880.3610000000001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C171-B68F-9245-AAB8-281BA0072F89}">
  <dimension ref="A1:E18"/>
  <sheetViews>
    <sheetView tabSelected="1" zoomScale="150" workbookViewId="0">
      <selection activeCell="C13" sqref="C13"/>
    </sheetView>
  </sheetViews>
  <sheetFormatPr baseColWidth="10" defaultColWidth="11.5" defaultRowHeight="15" x14ac:dyDescent="0.2"/>
  <cols>
    <col min="1" max="1" width="21.33203125" customWidth="1"/>
    <col min="2" max="2" width="17.83203125" customWidth="1"/>
    <col min="3" max="3" width="39.1640625" customWidth="1"/>
    <col min="4" max="4" width="12.5" customWidth="1"/>
    <col min="5" max="5" width="73.6640625" bestFit="1" customWidth="1"/>
  </cols>
  <sheetData>
    <row r="1" spans="1:5" ht="16" thickBot="1" x14ac:dyDescent="0.25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6" thickBot="1" x14ac:dyDescent="0.25">
      <c r="A2" s="6" t="s">
        <v>4</v>
      </c>
      <c r="B2" s="7"/>
      <c r="C2" s="101" t="s">
        <v>133</v>
      </c>
      <c r="D2" s="9"/>
      <c r="E2" s="10"/>
    </row>
    <row r="3" spans="1:5" ht="16" thickBot="1" x14ac:dyDescent="0.25">
      <c r="A3" s="6" t="s">
        <v>6</v>
      </c>
      <c r="B3" s="7"/>
      <c r="C3" s="101" t="s">
        <v>134</v>
      </c>
      <c r="D3" s="9"/>
      <c r="E3" s="10"/>
    </row>
    <row r="4" spans="1:5" ht="16" thickBot="1" x14ac:dyDescent="0.25">
      <c r="A4" s="6" t="s">
        <v>8</v>
      </c>
      <c r="B4" s="7"/>
      <c r="C4" s="101" t="s">
        <v>135</v>
      </c>
      <c r="D4" s="9"/>
      <c r="E4" s="10"/>
    </row>
    <row r="5" spans="1:5" ht="17" thickBot="1" x14ac:dyDescent="0.25">
      <c r="A5" s="91" t="s">
        <v>136</v>
      </c>
      <c r="B5" s="73"/>
      <c r="C5" s="120" t="s">
        <v>183</v>
      </c>
      <c r="D5" s="102" t="s">
        <v>137</v>
      </c>
      <c r="E5" s="103" t="s">
        <v>138</v>
      </c>
    </row>
    <row r="6" spans="1:5" ht="17" thickBot="1" x14ac:dyDescent="0.25">
      <c r="A6" s="91" t="s">
        <v>139</v>
      </c>
      <c r="B6" s="73"/>
      <c r="C6" s="99">
        <v>10</v>
      </c>
      <c r="D6" s="102" t="s">
        <v>30</v>
      </c>
      <c r="E6" s="28"/>
    </row>
    <row r="7" spans="1:5" ht="17" thickBot="1" x14ac:dyDescent="0.25">
      <c r="A7" s="91" t="s">
        <v>140</v>
      </c>
      <c r="B7" s="73"/>
      <c r="C7" s="99" t="s">
        <v>141</v>
      </c>
      <c r="D7" s="102" t="s">
        <v>142</v>
      </c>
      <c r="E7" s="28"/>
    </row>
    <row r="8" spans="1:5" ht="17" thickBot="1" x14ac:dyDescent="0.25">
      <c r="A8" s="91" t="s">
        <v>143</v>
      </c>
      <c r="B8" s="73"/>
      <c r="C8" s="104" t="s">
        <v>144</v>
      </c>
      <c r="D8" s="102" t="s">
        <v>137</v>
      </c>
      <c r="E8" s="28"/>
    </row>
    <row r="9" spans="1:5" ht="17" thickBot="1" x14ac:dyDescent="0.25">
      <c r="A9" s="91" t="s">
        <v>145</v>
      </c>
      <c r="B9" s="73"/>
      <c r="C9" s="99">
        <v>25000</v>
      </c>
      <c r="D9" s="102"/>
      <c r="E9" s="28"/>
    </row>
    <row r="10" spans="1:5" ht="17" thickBot="1" x14ac:dyDescent="0.25">
      <c r="A10" s="91" t="s">
        <v>146</v>
      </c>
      <c r="B10" s="73"/>
      <c r="C10" s="99">
        <v>0.01</v>
      </c>
      <c r="D10" s="102" t="s">
        <v>147</v>
      </c>
      <c r="E10" s="103" t="s">
        <v>148</v>
      </c>
    </row>
    <row r="11" spans="1:5" ht="17" customHeight="1" x14ac:dyDescent="0.2">
      <c r="A11" s="144" t="s">
        <v>149</v>
      </c>
      <c r="B11" s="105" t="s">
        <v>8</v>
      </c>
      <c r="C11" s="106" t="s">
        <v>150</v>
      </c>
      <c r="D11" s="90"/>
      <c r="E11" s="70"/>
    </row>
    <row r="12" spans="1:5" ht="16" thickBot="1" x14ac:dyDescent="0.25">
      <c r="A12" s="145"/>
      <c r="B12" s="107" t="s">
        <v>151</v>
      </c>
      <c r="C12" s="108" t="s">
        <v>11</v>
      </c>
      <c r="D12" s="109" t="s">
        <v>12</v>
      </c>
      <c r="E12" s="110"/>
    </row>
    <row r="13" spans="1:5" ht="17" thickBot="1" x14ac:dyDescent="0.25">
      <c r="A13" s="91" t="s">
        <v>152</v>
      </c>
      <c r="B13" s="73"/>
      <c r="C13" s="99" t="s">
        <v>153</v>
      </c>
      <c r="D13" s="102"/>
      <c r="E13" s="103" t="s">
        <v>154</v>
      </c>
    </row>
    <row r="14" spans="1:5" ht="16" x14ac:dyDescent="0.2">
      <c r="A14" s="91" t="s">
        <v>155</v>
      </c>
      <c r="B14" s="73"/>
      <c r="C14" s="99" t="s">
        <v>182</v>
      </c>
      <c r="D14" s="102"/>
      <c r="E14" s="103" t="s">
        <v>181</v>
      </c>
    </row>
    <row r="18" spans="4:4" x14ac:dyDescent="0.2">
      <c r="D18" s="135" t="s">
        <v>156</v>
      </c>
    </row>
  </sheetData>
  <mergeCells count="1">
    <mergeCell ref="A11:A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1"/>
  <sheetViews>
    <sheetView showGridLines="0" zoomScale="130" zoomScaleNormal="130" workbookViewId="0">
      <selection activeCell="D21" sqref="B21:D21"/>
    </sheetView>
  </sheetViews>
  <sheetFormatPr baseColWidth="10" defaultColWidth="16.33203125" defaultRowHeight="15.5" customHeight="1" x14ac:dyDescent="0.2"/>
  <cols>
    <col min="1" max="1" width="28.5" style="1" customWidth="1"/>
    <col min="2" max="5" width="16.33203125" style="1" customWidth="1"/>
    <col min="6" max="16384" width="16.33203125" style="1"/>
  </cols>
  <sheetData>
    <row r="1" spans="1:5" ht="13.25" customHeight="1" x14ac:dyDescent="0.2">
      <c r="A1" s="30" t="s">
        <v>157</v>
      </c>
      <c r="B1" s="30" t="s">
        <v>158</v>
      </c>
      <c r="C1" s="30" t="s">
        <v>159</v>
      </c>
      <c r="D1" s="30" t="s">
        <v>160</v>
      </c>
    </row>
    <row r="2" spans="1:5" ht="13.25" customHeight="1" x14ac:dyDescent="0.2">
      <c r="A2" s="31" t="s">
        <v>161</v>
      </c>
      <c r="B2" s="32">
        <v>200</v>
      </c>
      <c r="C2" s="33">
        <v>203.34700000000001</v>
      </c>
      <c r="D2" s="33">
        <v>76.349999999999994</v>
      </c>
    </row>
    <row r="3" spans="1:5" ht="13" customHeight="1" x14ac:dyDescent="0.2">
      <c r="A3" s="34" t="s">
        <v>162</v>
      </c>
      <c r="B3" s="35">
        <v>-196</v>
      </c>
      <c r="C3" s="36">
        <v>225</v>
      </c>
      <c r="D3" s="36">
        <v>76.349999999999994</v>
      </c>
    </row>
    <row r="4" spans="1:5" ht="13" customHeight="1" x14ac:dyDescent="0.2">
      <c r="A4" s="34" t="s">
        <v>163</v>
      </c>
      <c r="B4" s="35">
        <v>11.981999999999999</v>
      </c>
      <c r="C4" s="36">
        <v>588.50099999999998</v>
      </c>
      <c r="D4" s="36">
        <v>152.5</v>
      </c>
    </row>
    <row r="5" spans="1:5" ht="13" customHeight="1" x14ac:dyDescent="0.2">
      <c r="A5" s="34" t="s">
        <v>164</v>
      </c>
      <c r="B5" s="35">
        <v>152.88200000000001</v>
      </c>
      <c r="C5" s="36">
        <v>207.316</v>
      </c>
      <c r="D5" s="36">
        <v>271.78199999999998</v>
      </c>
    </row>
    <row r="6" spans="1:5" ht="13" customHeight="1" x14ac:dyDescent="0.2">
      <c r="A6" s="34" t="s">
        <v>165</v>
      </c>
      <c r="B6" s="35">
        <v>-180.72900000000001</v>
      </c>
      <c r="C6" s="36">
        <v>225</v>
      </c>
      <c r="D6" s="36">
        <v>250.89400000000001</v>
      </c>
    </row>
    <row r="7" spans="1:5" ht="13" customHeight="1" x14ac:dyDescent="0.2">
      <c r="A7" s="34" t="s">
        <v>166</v>
      </c>
      <c r="B7" s="35">
        <v>-12.087</v>
      </c>
      <c r="C7" s="36">
        <v>521.10299999999995</v>
      </c>
      <c r="D7" s="36">
        <v>381.5</v>
      </c>
    </row>
    <row r="8" spans="1:5" ht="13" customHeight="1" x14ac:dyDescent="0.2">
      <c r="A8" s="34" t="s">
        <v>167</v>
      </c>
      <c r="B8" s="141">
        <v>16.809999999999999</v>
      </c>
      <c r="C8" s="142">
        <v>582.16999999999996</v>
      </c>
      <c r="D8" s="142">
        <v>281.08999999999997</v>
      </c>
      <c r="E8" s="143"/>
    </row>
    <row r="9" spans="1:5" ht="13" customHeight="1" x14ac:dyDescent="0.2">
      <c r="A9" s="34" t="s">
        <v>168</v>
      </c>
      <c r="B9" s="141">
        <v>0</v>
      </c>
      <c r="C9" s="142">
        <v>640</v>
      </c>
      <c r="D9" s="142">
        <v>266.5</v>
      </c>
    </row>
    <row r="10" spans="1:5" ht="13" customHeight="1" x14ac:dyDescent="0.2">
      <c r="A10" s="34" t="s">
        <v>169</v>
      </c>
      <c r="B10" s="35">
        <v>105.45399999999999</v>
      </c>
      <c r="C10" s="36">
        <v>250</v>
      </c>
      <c r="D10" s="36">
        <v>126.39700000000001</v>
      </c>
    </row>
    <row r="11" spans="1:5" ht="13" customHeight="1" x14ac:dyDescent="0.2">
      <c r="A11" s="34" t="s">
        <v>170</v>
      </c>
      <c r="B11" s="35">
        <v>86.251999999999995</v>
      </c>
      <c r="C11" s="36">
        <v>575.54600000000005</v>
      </c>
      <c r="D11" s="36">
        <v>206.5</v>
      </c>
    </row>
    <row r="12" spans="1:5" ht="13" customHeight="1" x14ac:dyDescent="0.2">
      <c r="A12" s="34" t="s">
        <v>171</v>
      </c>
      <c r="B12" s="35">
        <v>7.8460000000000001</v>
      </c>
      <c r="C12" s="36">
        <v>233.22499999999999</v>
      </c>
      <c r="D12" s="36">
        <v>468.06400000000002</v>
      </c>
    </row>
    <row r="13" spans="1:5" ht="13" customHeight="1" x14ac:dyDescent="0.2">
      <c r="A13" s="34" t="s">
        <v>172</v>
      </c>
      <c r="B13" s="35">
        <v>9.5190000000000001</v>
      </c>
      <c r="C13" s="36">
        <v>318.30099999999999</v>
      </c>
      <c r="D13" s="36">
        <v>312.06599999999997</v>
      </c>
    </row>
    <row r="14" spans="1:5" ht="13.5" customHeight="1" x14ac:dyDescent="0.2">
      <c r="A14" s="34" t="s">
        <v>173</v>
      </c>
      <c r="B14" s="35">
        <v>11.606999999999999</v>
      </c>
      <c r="C14" s="36">
        <v>543.33000000000004</v>
      </c>
      <c r="D14" s="36">
        <v>173.935</v>
      </c>
    </row>
    <row r="15" spans="1:5" ht="13" customHeight="1" x14ac:dyDescent="0.2">
      <c r="A15" s="34" t="s">
        <v>174</v>
      </c>
      <c r="B15" s="35">
        <v>9.5399999999999991</v>
      </c>
      <c r="C15" s="36">
        <v>351.99599999999998</v>
      </c>
      <c r="D15" s="36">
        <v>310.57900000000001</v>
      </c>
    </row>
    <row r="16" spans="1:5" ht="13" customHeight="1" x14ac:dyDescent="0.2">
      <c r="A16" s="34" t="s">
        <v>175</v>
      </c>
      <c r="B16" s="35">
        <v>9.9</v>
      </c>
      <c r="C16" s="36">
        <v>244.89</v>
      </c>
      <c r="D16" s="36">
        <v>277.83600000000001</v>
      </c>
    </row>
    <row r="17" spans="1:4" ht="13" customHeight="1" x14ac:dyDescent="0.2">
      <c r="A17" s="34" t="s">
        <v>176</v>
      </c>
      <c r="B17" s="35">
        <v>-7</v>
      </c>
      <c r="C17" s="36">
        <v>262.84899999999999</v>
      </c>
      <c r="D17" s="36">
        <v>51.518999999999998</v>
      </c>
    </row>
    <row r="18" spans="1:4" ht="13" customHeight="1" x14ac:dyDescent="0.2">
      <c r="A18" s="34" t="s">
        <v>177</v>
      </c>
      <c r="B18" s="35">
        <v>-67.747</v>
      </c>
      <c r="C18" s="36">
        <v>262.88400000000001</v>
      </c>
      <c r="D18" s="36">
        <v>51.353999999999999</v>
      </c>
    </row>
    <row r="19" spans="1:4" ht="13" customHeight="1" x14ac:dyDescent="0.2">
      <c r="A19" s="34" t="s">
        <v>178</v>
      </c>
      <c r="B19" s="35">
        <v>9.74</v>
      </c>
      <c r="C19" s="36">
        <v>292.70499999999998</v>
      </c>
      <c r="D19" s="36">
        <v>292.45299999999997</v>
      </c>
    </row>
    <row r="20" spans="1:4" ht="13" customHeight="1" x14ac:dyDescent="0.2">
      <c r="A20" s="34" t="s">
        <v>179</v>
      </c>
      <c r="B20" s="35">
        <v>105.45399999999999</v>
      </c>
      <c r="C20" s="36">
        <v>0</v>
      </c>
      <c r="D20" s="36">
        <v>126.39700000000001</v>
      </c>
    </row>
    <row r="21" spans="1:4" ht="13" customHeight="1" x14ac:dyDescent="0.2">
      <c r="A21" s="34" t="s">
        <v>180</v>
      </c>
      <c r="B21" s="141">
        <v>-324.96499999999997</v>
      </c>
      <c r="C21" s="142">
        <v>0</v>
      </c>
      <c r="D21" s="142">
        <v>533.79200000000003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19"/>
  <sheetViews>
    <sheetView showGridLines="0" zoomScale="130" zoomScaleNormal="130" workbookViewId="0">
      <selection activeCell="D8" sqref="B8:D8"/>
    </sheetView>
  </sheetViews>
  <sheetFormatPr baseColWidth="10" defaultColWidth="16.33203125" defaultRowHeight="15.5" customHeight="1" x14ac:dyDescent="0.2"/>
  <cols>
    <col min="1" max="1" width="31.5" style="1" customWidth="1"/>
    <col min="2" max="5" width="16.33203125" style="1" customWidth="1"/>
    <col min="6" max="16384" width="16.33203125" style="1"/>
  </cols>
  <sheetData>
    <row r="1" spans="1:4" ht="13.25" customHeight="1" x14ac:dyDescent="0.2">
      <c r="A1" s="30" t="s">
        <v>157</v>
      </c>
      <c r="B1" s="30" t="s">
        <v>158</v>
      </c>
      <c r="C1" s="30" t="s">
        <v>159</v>
      </c>
      <c r="D1" s="30" t="s">
        <v>160</v>
      </c>
    </row>
    <row r="2" spans="1:4" ht="13.25" customHeight="1" x14ac:dyDescent="0.2">
      <c r="A2" s="31" t="s">
        <v>161</v>
      </c>
      <c r="B2" s="32">
        <v>-1390</v>
      </c>
      <c r="C2" s="33">
        <v>305</v>
      </c>
      <c r="D2" s="33">
        <v>111.35</v>
      </c>
    </row>
    <row r="3" spans="1:4" ht="13" customHeight="1" x14ac:dyDescent="0.2">
      <c r="A3" s="34" t="s">
        <v>162</v>
      </c>
      <c r="B3" s="35">
        <v>-1830</v>
      </c>
      <c r="C3" s="36">
        <v>270</v>
      </c>
      <c r="D3" s="36">
        <v>111.35</v>
      </c>
    </row>
    <row r="4" spans="1:4" ht="13" customHeight="1" x14ac:dyDescent="0.2">
      <c r="A4" s="34" t="s">
        <v>163</v>
      </c>
      <c r="B4" s="35">
        <v>-1579.278</v>
      </c>
      <c r="C4" s="36">
        <v>574.49699999999996</v>
      </c>
      <c r="D4" s="36">
        <v>144</v>
      </c>
    </row>
    <row r="5" spans="1:4" ht="13" customHeight="1" x14ac:dyDescent="0.2">
      <c r="A5" s="34" t="s">
        <v>164</v>
      </c>
      <c r="B5" s="35">
        <v>-1390</v>
      </c>
      <c r="C5" s="36">
        <v>305</v>
      </c>
      <c r="D5" s="36">
        <v>313.98099999999999</v>
      </c>
    </row>
    <row r="6" spans="1:4" ht="13" customHeight="1" x14ac:dyDescent="0.2">
      <c r="A6" s="34" t="s">
        <v>165</v>
      </c>
      <c r="B6" s="35">
        <v>-1830</v>
      </c>
      <c r="C6" s="36">
        <v>270</v>
      </c>
      <c r="D6" s="36">
        <v>339.47500000000002</v>
      </c>
    </row>
    <row r="7" spans="1:4" ht="13" customHeight="1" x14ac:dyDescent="0.2">
      <c r="A7" s="34" t="s">
        <v>166</v>
      </c>
      <c r="B7" s="35">
        <v>-1570.7049999999999</v>
      </c>
      <c r="C7" s="36">
        <v>508.71499999999997</v>
      </c>
      <c r="D7" s="36">
        <v>389.5</v>
      </c>
    </row>
    <row r="8" spans="1:4" ht="13" customHeight="1" x14ac:dyDescent="0.2">
      <c r="A8" s="34" t="s">
        <v>167</v>
      </c>
      <c r="B8" s="141">
        <v>-1569.287</v>
      </c>
      <c r="C8" s="142">
        <v>568.86300000000006</v>
      </c>
      <c r="D8" s="142">
        <v>272.678</v>
      </c>
    </row>
    <row r="9" spans="1:4" ht="13" customHeight="1" x14ac:dyDescent="0.2">
      <c r="A9" s="34" t="s">
        <v>168</v>
      </c>
      <c r="B9" s="141">
        <v>-1575</v>
      </c>
      <c r="C9" s="142">
        <v>625</v>
      </c>
      <c r="D9" s="142">
        <v>266.5</v>
      </c>
    </row>
    <row r="10" spans="1:4" ht="13" customHeight="1" x14ac:dyDescent="0.2">
      <c r="A10" s="34" t="s">
        <v>169</v>
      </c>
      <c r="B10" s="35">
        <v>-1830</v>
      </c>
      <c r="C10" s="36">
        <v>270</v>
      </c>
      <c r="D10" s="36">
        <v>178.642</v>
      </c>
    </row>
    <row r="11" spans="1:4" ht="13" customHeight="1" x14ac:dyDescent="0.2">
      <c r="A11" s="34" t="s">
        <v>170</v>
      </c>
      <c r="B11" s="35">
        <v>-1676.222</v>
      </c>
      <c r="C11" s="36">
        <v>578</v>
      </c>
      <c r="D11" s="36">
        <v>231.5</v>
      </c>
    </row>
    <row r="12" spans="1:4" ht="13" customHeight="1" x14ac:dyDescent="0.2">
      <c r="A12" s="34" t="s">
        <v>171</v>
      </c>
      <c r="B12" s="35">
        <v>-1398.8620000000001</v>
      </c>
      <c r="C12" s="36">
        <v>283.65199999999999</v>
      </c>
      <c r="D12" s="36">
        <v>421.80700000000002</v>
      </c>
    </row>
    <row r="13" spans="1:4" ht="13" customHeight="1" x14ac:dyDescent="0.2">
      <c r="A13" s="34" t="s">
        <v>172</v>
      </c>
      <c r="B13" s="35">
        <v>-1582.4280000000001</v>
      </c>
      <c r="C13" s="36">
        <v>264.54700000000003</v>
      </c>
      <c r="D13" s="36">
        <v>466.95600000000002</v>
      </c>
    </row>
    <row r="14" spans="1:4" ht="13" customHeight="1" x14ac:dyDescent="0.2">
      <c r="A14" s="34" t="s">
        <v>173</v>
      </c>
      <c r="B14" s="35">
        <v>-1598.432</v>
      </c>
      <c r="C14" s="36">
        <v>528.36199999999997</v>
      </c>
      <c r="D14" s="36">
        <v>164.11600000000001</v>
      </c>
    </row>
    <row r="15" spans="1:4" ht="13" customHeight="1" x14ac:dyDescent="0.2">
      <c r="A15" s="34" t="s">
        <v>174</v>
      </c>
      <c r="B15" s="35">
        <v>-1663.0229999999999</v>
      </c>
      <c r="C15" s="36">
        <v>351.75099999999998</v>
      </c>
      <c r="D15" s="36">
        <v>387.30799999999999</v>
      </c>
    </row>
    <row r="16" spans="1:4" ht="13" customHeight="1" x14ac:dyDescent="0.2">
      <c r="A16" s="34" t="s">
        <v>175</v>
      </c>
      <c r="B16" s="35">
        <v>-1585.771</v>
      </c>
      <c r="C16" s="36">
        <v>318.42700000000002</v>
      </c>
      <c r="D16" s="36">
        <v>411.35</v>
      </c>
    </row>
    <row r="17" spans="1:4" ht="13" customHeight="1" x14ac:dyDescent="0.2">
      <c r="A17" s="34" t="s">
        <v>176</v>
      </c>
      <c r="B17" s="35">
        <v>-1830</v>
      </c>
      <c r="C17" s="36">
        <v>305</v>
      </c>
      <c r="D17" s="36">
        <v>444.35</v>
      </c>
    </row>
    <row r="18" spans="1:4" ht="13" customHeight="1" x14ac:dyDescent="0.2">
      <c r="A18" s="34" t="s">
        <v>177</v>
      </c>
      <c r="B18" s="35">
        <v>-1830</v>
      </c>
      <c r="C18" s="36">
        <v>305</v>
      </c>
      <c r="D18" s="36">
        <v>386.35</v>
      </c>
    </row>
    <row r="19" spans="1:4" ht="13" customHeight="1" x14ac:dyDescent="0.2">
      <c r="A19" s="34" t="s">
        <v>178</v>
      </c>
      <c r="B19" s="35">
        <v>-1602.577</v>
      </c>
      <c r="C19" s="36">
        <v>286.34800000000001</v>
      </c>
      <c r="D19" s="36">
        <v>447.04399999999998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2B7EAA7728A4FA80A5CCAFE8D7EAF" ma:contentTypeVersion="19" ma:contentTypeDescription="Create a new document." ma:contentTypeScope="" ma:versionID="3d037a5681ee6af0e7b5b5d0a2f99b20">
  <xsd:schema xmlns:xsd="http://www.w3.org/2001/XMLSchema" xmlns:xs="http://www.w3.org/2001/XMLSchema" xmlns:p="http://schemas.microsoft.com/office/2006/metadata/properties" xmlns:ns2="9557458c-24b5-4c97-84ed-4c402655f54f" xmlns:ns3="72e3c584-9879-4b35-b9d8-6a248c93e240" targetNamespace="http://schemas.microsoft.com/office/2006/metadata/properties" ma:root="true" ma:fieldsID="966978c8b125399653e7c255ac8e342d" ns2:_="" ns3:_="">
    <xsd:import namespace="9557458c-24b5-4c97-84ed-4c402655f54f"/>
    <xsd:import namespace="72e3c584-9879-4b35-b9d8-6a248c93e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458c-24b5-4c97-84ed-4c402655f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a520e9-238f-4391-a566-21dd42474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3c584-9879-4b35-b9d8-6a248c93e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80220e-f9c1-4e35-9963-4ab067410620}" ma:internalName="TaxCatchAll" ma:showField="CatchAllData" ma:web="72e3c584-9879-4b35-b9d8-6a248c93e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57458c-24b5-4c97-84ed-4c402655f54f">
      <Terms xmlns="http://schemas.microsoft.com/office/infopath/2007/PartnerControls"/>
    </lcf76f155ced4ddcb4097134ff3c332f>
    <TaxCatchAll xmlns="72e3c584-9879-4b35-b9d8-6a248c93e240" xsi:nil="true"/>
  </documentManagement>
</p:properties>
</file>

<file path=customXml/itemProps1.xml><?xml version="1.0" encoding="utf-8"?>
<ds:datastoreItem xmlns:ds="http://schemas.openxmlformats.org/officeDocument/2006/customXml" ds:itemID="{23C60B87-FF36-4F0E-B782-0EC386590C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057E1-111A-4671-B2A8-840A9FE9E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7458c-24b5-4c97-84ed-4c402655f54f"/>
    <ds:schemaRef ds:uri="72e3c584-9879-4b35-b9d8-6a248c93e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7EDCD-D7E5-429F-A499-76DDCD78D8B8}">
  <ds:schemaRefs>
    <ds:schemaRef ds:uri="http://schemas.microsoft.com/office/2006/metadata/properties"/>
    <ds:schemaRef ds:uri="http://schemas.microsoft.com/office/infopath/2007/PartnerControls"/>
    <ds:schemaRef ds:uri="9557458c-24b5-4c97-84ed-4c402655f54f"/>
    <ds:schemaRef ds:uri="72e3c584-9879-4b35-b9d8-6a248c93e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Body</vt:lpstr>
      <vt:lpstr>SuspA1</vt:lpstr>
      <vt:lpstr>LinkageFront</vt:lpstr>
      <vt:lpstr>ARBFront</vt:lpstr>
      <vt:lpstr>Steer</vt:lpstr>
      <vt:lpstr>SuspA2</vt:lpstr>
      <vt:lpstr>LinkageRear</vt:lpstr>
      <vt:lpstr>ARBRear</vt:lpstr>
      <vt:lpstr>Aero</vt:lpstr>
      <vt:lpstr>Spring</vt:lpstr>
      <vt:lpstr>Damper</vt:lpstr>
      <vt:lpstr>Damping</vt:lpstr>
      <vt:lpstr>Tire</vt:lpstr>
      <vt:lpstr>HardpointsFr</vt:lpstr>
      <vt:lpstr>HardpointsRr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Tudor Manciu</dc:creator>
  <cp:keywords/>
  <dc:description/>
  <cp:lastModifiedBy>Andrei Dragos Ganea</cp:lastModifiedBy>
  <cp:revision/>
  <dcterms:created xsi:type="dcterms:W3CDTF">2025-09-27T09:16:51Z</dcterms:created>
  <dcterms:modified xsi:type="dcterms:W3CDTF">2026-10-18T20:16:21Z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0x0101009342B7EAA7728A4FA80A5CCAFE8D7EAF</vt:lpwstr>
  </property>
  <property fmtid="{D5CDD505-2E9C-101B-9397-08002B2CF9AE}" pid="3" name="MediaServiceImageTags">
    <vt:lpwstr/>
  </property>
  <property fmtid="{D5CDD505-2E9C-101B-9397-08002B2CF9AE}" pid="4" name="MSIP_Label_5b58b62f-6f94-46bd-8089-18e64b0a9abb_Enabled">
    <vt:lpwstr>true</vt:lpwstr>
  </property>
  <property fmtid="{D5CDD505-2E9C-101B-9397-08002B2CF9AE}" pid="5" name="MSIP_Label_5b58b62f-6f94-46bd-8089-18e64b0a9abb_SetDate">
    <vt:lpwstr>2025-10-21T14:25:42Z</vt:lpwstr>
  </property>
  <property fmtid="{D5CDD505-2E9C-101B-9397-08002B2CF9AE}" pid="6" name="MSIP_Label_5b58b62f-6f94-46bd-8089-18e64b0a9abb_Method">
    <vt:lpwstr>Standard</vt:lpwstr>
  </property>
  <property fmtid="{D5CDD505-2E9C-101B-9397-08002B2CF9AE}" pid="7" name="MSIP_Label_5b58b62f-6f94-46bd-8089-18e64b0a9abb_Name">
    <vt:lpwstr>defa4170-0d19-0005-0004-bc88714345d2</vt:lpwstr>
  </property>
  <property fmtid="{D5CDD505-2E9C-101B-9397-08002B2CF9AE}" pid="8" name="MSIP_Label_5b58b62f-6f94-46bd-8089-18e64b0a9abb_SiteId">
    <vt:lpwstr>a6eb79fa-c4a9-4cce-818d-b85274d15305</vt:lpwstr>
  </property>
  <property fmtid="{D5CDD505-2E9C-101B-9397-08002B2CF9AE}" pid="9" name="MSIP_Label_5b58b62f-6f94-46bd-8089-18e64b0a9abb_ActionId">
    <vt:lpwstr>62bab860-5457-4d28-81aa-b42e72d75445</vt:lpwstr>
  </property>
  <property fmtid="{D5CDD505-2E9C-101B-9397-08002B2CF9AE}" pid="10" name="MSIP_Label_5b58b62f-6f94-46bd-8089-18e64b0a9abb_ContentBits">
    <vt:lpwstr>0</vt:lpwstr>
  </property>
  <property fmtid="{D5CDD505-2E9C-101B-9397-08002B2CF9AE}" pid="11" name="MSIP_Label_5b58b62f-6f94-46bd-8089-18e64b0a9abb_Tag">
    <vt:lpwstr>50, 3, 0, 1</vt:lpwstr>
  </property>
</Properties>
</file>